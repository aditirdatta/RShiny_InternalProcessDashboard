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ads\Rscripts\Datasets\"/>
    </mc:Choice>
  </mc:AlternateContent>
  <bookViews>
    <workbookView xWindow="0" yWindow="0" windowWidth="21336" windowHeight="6996" tabRatio="601" firstSheet="1" activeTab="1"/>
  </bookViews>
  <sheets>
    <sheet name="On-Boarding Detail" sheetId="10" r:id="rId1"/>
    <sheet name="Sheet1" sheetId="14" r:id="rId2"/>
    <sheet name="On-Boarding Summary" sheetId="12" r:id="rId3"/>
    <sheet name="On-Boarding Schedule" sheetId="13" r:id="rId4"/>
  </sheets>
  <definedNames>
    <definedName name="_xlnm._FilterDatabase" localSheetId="0" hidden="1">'On-Boarding Detail'!$A$7:$X$254</definedName>
    <definedName name="_xlnm._FilterDatabase" localSheetId="3" hidden="1">'On-Boarding Schedule'!$A$7:$U$150</definedName>
    <definedName name="_xlnm._FilterDatabase" localSheetId="2" hidden="1">'On-Boarding Summary'!$A$6:$F$65</definedName>
    <definedName name="_xlnm.Print_Area" localSheetId="0">'On-Boarding Detail'!$A$7:$U$248</definedName>
    <definedName name="_xlnm.Print_Area" localSheetId="3">'On-Boarding Schedule'!$A$8:$T$153</definedName>
    <definedName name="_xlnm.Print_Area" localSheetId="2">'On-Boarding Summary'!$A$7:$E$67</definedName>
    <definedName name="_xlnm.Print_Titles" localSheetId="0">'On-Boarding Detail'!$1:$7</definedName>
    <definedName name="_xlnm.Print_Titles" localSheetId="3">'On-Boarding Schedule'!$1:$7</definedName>
    <definedName name="_xlnm.Print_Titles" localSheetId="2">'On-Boarding Summary'!$1:$6</definedName>
    <definedName name="Sort_Data" localSheetId="3">'On-Boarding Schedule'!$A$7+'On-Boarding Schedule'!#REF!</definedName>
    <definedName name="Sort_Data" localSheetId="2">'On-Boarding Summary'!#REF!+'On-Boarding Summary'!#REF!</definedName>
    <definedName name="Sort_Data">'On-Boarding Detail'!$A$7+'On-Boarding Detail'!#REF!</definedName>
  </definedNames>
  <calcPr calcId="152511"/>
</workbook>
</file>

<file path=xl/calcChain.xml><?xml version="1.0" encoding="utf-8"?>
<calcChain xmlns="http://schemas.openxmlformats.org/spreadsheetml/2006/main">
  <c r="A3" i="10" l="1"/>
  <c r="A4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8" i="10"/>
  <c r="A39" i="10"/>
  <c r="A40" i="10"/>
  <c r="A41" i="10"/>
  <c r="A42" i="10"/>
  <c r="A43" i="10"/>
  <c r="A44" i="10"/>
  <c r="A45" i="10"/>
  <c r="A46" i="10"/>
  <c r="A48" i="10"/>
  <c r="A49" i="10"/>
  <c r="A50" i="10"/>
  <c r="A51" i="10"/>
  <c r="A52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9" i="10"/>
  <c r="A70" i="10"/>
  <c r="A71" i="10"/>
  <c r="A72" i="10"/>
  <c r="A73" i="10"/>
  <c r="A74" i="10"/>
  <c r="A75" i="10"/>
  <c r="A76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1" i="10"/>
  <c r="A212" i="10"/>
  <c r="A213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9" i="10"/>
  <c r="A230" i="10"/>
  <c r="A231" i="10"/>
  <c r="A232" i="10"/>
  <c r="A233" i="10"/>
  <c r="A235" i="10"/>
  <c r="A236" i="10"/>
  <c r="A238" i="10"/>
  <c r="A239" i="10"/>
  <c r="A240" i="10"/>
  <c r="A241" i="10"/>
  <c r="A242" i="10"/>
  <c r="A243" i="10"/>
  <c r="A244" i="10"/>
  <c r="A246" i="10"/>
  <c r="A247" i="10"/>
  <c r="A249" i="10" l="1"/>
  <c r="A250" i="10"/>
  <c r="A251" i="10"/>
  <c r="A252" i="10"/>
  <c r="A253" i="10"/>
  <c r="A254" i="10"/>
  <c r="M170" i="13" l="1"/>
  <c r="K170" i="13"/>
  <c r="J170" i="13"/>
  <c r="E170" i="13"/>
  <c r="M169" i="13"/>
  <c r="K169" i="13"/>
  <c r="J169" i="13"/>
  <c r="E169" i="13"/>
  <c r="M168" i="13"/>
  <c r="K168" i="13"/>
  <c r="J168" i="13"/>
  <c r="E168" i="13"/>
  <c r="M167" i="13"/>
  <c r="K167" i="13"/>
  <c r="J167" i="13"/>
  <c r="E167" i="13"/>
  <c r="M166" i="13"/>
  <c r="K166" i="13"/>
  <c r="J166" i="13"/>
  <c r="E166" i="13"/>
  <c r="M165" i="13"/>
  <c r="K165" i="13"/>
  <c r="J165" i="13"/>
  <c r="E165" i="13"/>
  <c r="M164" i="13"/>
  <c r="K164" i="13"/>
  <c r="J164" i="13"/>
  <c r="E164" i="13"/>
  <c r="M163" i="13"/>
  <c r="K163" i="13"/>
  <c r="J163" i="13"/>
  <c r="E163" i="13"/>
  <c r="M162" i="13"/>
  <c r="K162" i="13"/>
  <c r="J162" i="13"/>
  <c r="E162" i="13"/>
  <c r="M161" i="13"/>
  <c r="K161" i="13"/>
  <c r="J161" i="13"/>
  <c r="E161" i="13"/>
  <c r="M160" i="13"/>
  <c r="K160" i="13"/>
  <c r="J160" i="13"/>
  <c r="E160" i="13"/>
  <c r="K157" i="13"/>
  <c r="J157" i="13"/>
  <c r="T156" i="13"/>
  <c r="S156" i="13"/>
  <c r="R156" i="13"/>
  <c r="Q156" i="13"/>
  <c r="P156" i="13"/>
  <c r="O156" i="13"/>
  <c r="N156" i="13"/>
  <c r="M156" i="13"/>
  <c r="K156" i="13"/>
  <c r="J156" i="13"/>
  <c r="T155" i="13"/>
  <c r="S155" i="13"/>
  <c r="R155" i="13"/>
  <c r="Q155" i="13"/>
  <c r="P155" i="13"/>
  <c r="O155" i="13"/>
  <c r="N155" i="13"/>
  <c r="M155" i="13"/>
  <c r="K155" i="13"/>
  <c r="J155" i="13"/>
  <c r="D155" i="13"/>
  <c r="T154" i="13"/>
  <c r="S154" i="13"/>
  <c r="R154" i="13"/>
  <c r="Q154" i="13"/>
  <c r="P154" i="13"/>
  <c r="O154" i="13"/>
  <c r="N154" i="13"/>
  <c r="M154" i="13"/>
  <c r="K154" i="13"/>
  <c r="J154" i="13"/>
  <c r="D154" i="13"/>
  <c r="A154" i="13"/>
  <c r="T7" i="13"/>
  <c r="S7" i="13"/>
  <c r="R7" i="13"/>
  <c r="Q7" i="13"/>
  <c r="M7" i="13"/>
  <c r="L7" i="13"/>
  <c r="K7" i="13"/>
  <c r="J7" i="13"/>
  <c r="D7" i="13"/>
  <c r="A7" i="13"/>
  <c r="A4" i="13"/>
  <c r="A4" i="12"/>
  <c r="M277" i="10"/>
  <c r="L277" i="10"/>
  <c r="K277" i="10"/>
  <c r="J277" i="10"/>
  <c r="M276" i="10"/>
  <c r="L276" i="10"/>
  <c r="K276" i="10"/>
  <c r="J276" i="10"/>
  <c r="M275" i="10"/>
  <c r="L275" i="10"/>
  <c r="K275" i="10"/>
  <c r="J275" i="10"/>
  <c r="M274" i="10"/>
  <c r="L274" i="10"/>
  <c r="K274" i="10"/>
  <c r="J274" i="10"/>
  <c r="M273" i="10"/>
  <c r="L273" i="10"/>
  <c r="K273" i="10"/>
  <c r="J273" i="10"/>
  <c r="M272" i="10"/>
  <c r="L272" i="10"/>
  <c r="K272" i="10"/>
  <c r="J272" i="10"/>
  <c r="M271" i="10"/>
  <c r="L271" i="10"/>
  <c r="K271" i="10"/>
  <c r="J271" i="10"/>
  <c r="M270" i="10"/>
  <c r="L270" i="10"/>
  <c r="K270" i="10"/>
  <c r="J270" i="10"/>
  <c r="M269" i="10"/>
  <c r="L269" i="10"/>
  <c r="K269" i="10"/>
  <c r="J269" i="10"/>
  <c r="M268" i="10"/>
  <c r="L268" i="10"/>
  <c r="K268" i="10"/>
  <c r="J268" i="10"/>
  <c r="M267" i="10"/>
  <c r="L267" i="10"/>
  <c r="K267" i="10"/>
  <c r="J267" i="10"/>
  <c r="M266" i="10"/>
  <c r="L266" i="10"/>
  <c r="K266" i="10"/>
  <c r="J266" i="10"/>
  <c r="H262" i="10"/>
  <c r="U261" i="10"/>
  <c r="T261" i="10"/>
  <c r="S261" i="10"/>
  <c r="R261" i="10"/>
  <c r="Q261" i="10"/>
  <c r="P261" i="10"/>
  <c r="O261" i="10"/>
  <c r="N261" i="10"/>
  <c r="M261" i="10"/>
  <c r="L261" i="10"/>
  <c r="K261" i="10"/>
  <c r="H261" i="10"/>
  <c r="U260" i="10"/>
  <c r="T260" i="10"/>
  <c r="S260" i="10"/>
  <c r="R260" i="10"/>
  <c r="Q260" i="10"/>
  <c r="P260" i="10"/>
  <c r="O260" i="10"/>
  <c r="N260" i="10"/>
  <c r="M260" i="10"/>
  <c r="L260" i="10"/>
  <c r="K260" i="10"/>
  <c r="H260" i="10"/>
  <c r="U259" i="10"/>
  <c r="U7" i="10" s="1"/>
  <c r="T259" i="10"/>
  <c r="T7" i="10" s="1"/>
  <c r="S259" i="10"/>
  <c r="S7" i="10" s="1"/>
  <c r="R259" i="10"/>
  <c r="R7" i="10" s="1"/>
  <c r="Q259" i="10"/>
  <c r="Q7" i="10" s="1"/>
  <c r="P259" i="10"/>
  <c r="P7" i="10" s="1"/>
  <c r="O259" i="10"/>
  <c r="O7" i="10" s="1"/>
  <c r="N259" i="10"/>
  <c r="M259" i="10"/>
  <c r="M7" i="10" s="1"/>
  <c r="L259" i="10"/>
  <c r="L262" i="10" s="1"/>
  <c r="L7" i="10" s="1"/>
  <c r="K259" i="10"/>
  <c r="H259" i="10"/>
  <c r="H258" i="10"/>
  <c r="H257" i="10"/>
  <c r="A248" i="10"/>
  <c r="N7" i="10" l="1"/>
  <c r="K262" i="10"/>
  <c r="K7" i="10" s="1"/>
  <c r="J278" i="10"/>
  <c r="L278" i="10"/>
  <c r="M278" i="10"/>
  <c r="K278" i="10"/>
  <c r="A259" i="10"/>
  <c r="A7" i="10" s="1"/>
</calcChain>
</file>

<file path=xl/comments1.xml><?xml version="1.0" encoding="utf-8"?>
<comments xmlns="http://schemas.openxmlformats.org/spreadsheetml/2006/main">
  <authors>
    <author>Angell Duran</author>
    <author>Jaime Estrada</author>
  </authors>
  <commentList>
    <comment ref="D17" authorId="0" shapeId="0">
      <text>
        <r>
          <rPr>
            <b/>
            <sz val="9"/>
            <color indexed="81"/>
            <rFont val="Tahoma"/>
            <family val="2"/>
          </rPr>
          <t>Angell Duran:</t>
        </r>
        <r>
          <rPr>
            <sz val="9"/>
            <color indexed="81"/>
            <rFont val="Tahoma"/>
            <family val="2"/>
          </rPr>
          <t xml:space="preserve">
Will transition Allscripts to Powercharts fall 2016</t>
        </r>
      </text>
    </comment>
    <comment ref="D23" authorId="0" shapeId="0">
      <text>
        <r>
          <rPr>
            <b/>
            <sz val="9"/>
            <color indexed="81"/>
            <rFont val="Tahoma"/>
            <family val="2"/>
          </rPr>
          <t>Angell Duran:</t>
        </r>
        <r>
          <rPr>
            <sz val="9"/>
            <color indexed="81"/>
            <rFont val="Tahoma"/>
            <family val="2"/>
          </rPr>
          <t xml:space="preserve">
Transition to Cerner 2017</t>
        </r>
      </text>
    </comment>
    <comment ref="D40" authorId="1" shapeId="0">
      <text>
        <r>
          <rPr>
            <b/>
            <sz val="9"/>
            <color indexed="81"/>
            <rFont val="Tahoma"/>
            <family val="2"/>
          </rPr>
          <t>Jaime Estrada:</t>
        </r>
        <r>
          <rPr>
            <sz val="9"/>
            <color indexed="81"/>
            <rFont val="Tahoma"/>
            <family val="2"/>
          </rPr>
          <t xml:space="preserve">
Transitioning to Cerner 2016
</t>
        </r>
      </text>
    </comment>
    <comment ref="D62" authorId="0" shapeId="0">
      <text>
        <r>
          <rPr>
            <b/>
            <sz val="9"/>
            <color indexed="81"/>
            <rFont val="Tahoma"/>
            <family val="2"/>
          </rPr>
          <t>Angell Duran:</t>
        </r>
        <r>
          <rPr>
            <sz val="9"/>
            <color indexed="81"/>
            <rFont val="Tahoma"/>
            <family val="2"/>
          </rPr>
          <t xml:space="preserve">
Honorhealth</t>
        </r>
      </text>
    </comment>
    <comment ref="D146" authorId="0" shapeId="0">
      <text>
        <r>
          <rPr>
            <b/>
            <sz val="9"/>
            <color indexed="81"/>
            <rFont val="Tahoma"/>
            <family val="2"/>
          </rPr>
          <t>Angell Duran:</t>
        </r>
        <r>
          <rPr>
            <sz val="9"/>
            <color indexed="81"/>
            <rFont val="Tahoma"/>
            <family val="2"/>
          </rPr>
          <t xml:space="preserve">
with Topaz</t>
        </r>
      </text>
    </comment>
    <comment ref="D149" authorId="0" shapeId="0">
      <text>
        <r>
          <rPr>
            <b/>
            <sz val="9"/>
            <color indexed="81"/>
            <rFont val="Tahoma"/>
            <family val="2"/>
          </rPr>
          <t>Angell Duran:</t>
        </r>
        <r>
          <rPr>
            <sz val="9"/>
            <color indexed="81"/>
            <rFont val="Tahoma"/>
            <family val="2"/>
          </rPr>
          <t xml:space="preserve">
NextGen SMI</t>
        </r>
      </text>
    </comment>
    <comment ref="D165" authorId="0" shapeId="0">
      <text>
        <r>
          <rPr>
            <b/>
            <sz val="9"/>
            <color indexed="81"/>
            <rFont val="Tahoma"/>
            <family val="2"/>
          </rPr>
          <t>Angell Duran:</t>
        </r>
        <r>
          <rPr>
            <sz val="9"/>
            <color indexed="81"/>
            <rFont val="Tahoma"/>
            <family val="2"/>
          </rPr>
          <t xml:space="preserve">
NextGen SMI</t>
        </r>
      </text>
    </comment>
    <comment ref="D169" authorId="0" shapeId="0">
      <text>
        <r>
          <rPr>
            <b/>
            <sz val="9"/>
            <color indexed="81"/>
            <rFont val="Tahoma"/>
            <family val="2"/>
          </rPr>
          <t>Angell Duran:</t>
        </r>
        <r>
          <rPr>
            <sz val="9"/>
            <color indexed="81"/>
            <rFont val="Tahoma"/>
            <family val="2"/>
          </rPr>
          <t xml:space="preserve">
NextGen SMI</t>
        </r>
      </text>
    </comment>
    <comment ref="D190" authorId="0" shapeId="0">
      <text>
        <r>
          <rPr>
            <b/>
            <sz val="9"/>
            <color indexed="81"/>
            <rFont val="Tahoma"/>
            <family val="2"/>
          </rPr>
          <t>Angell Duran:</t>
        </r>
        <r>
          <rPr>
            <sz val="9"/>
            <color indexed="81"/>
            <rFont val="Tahoma"/>
            <family val="2"/>
          </rPr>
          <t xml:space="preserve">
Netsmart</t>
        </r>
      </text>
    </comment>
    <comment ref="D197" authorId="0" shapeId="0">
      <text>
        <r>
          <rPr>
            <b/>
            <sz val="9"/>
            <color indexed="81"/>
            <rFont val="Tahoma"/>
            <family val="2"/>
          </rPr>
          <t>Angell Duran:</t>
        </r>
        <r>
          <rPr>
            <sz val="9"/>
            <color indexed="81"/>
            <rFont val="Tahoma"/>
            <family val="2"/>
          </rPr>
          <t xml:space="preserve">
NextGen SMI</t>
        </r>
      </text>
    </comment>
    <comment ref="D200" authorId="0" shapeId="0">
      <text>
        <r>
          <rPr>
            <b/>
            <sz val="9"/>
            <color indexed="81"/>
            <rFont val="Tahoma"/>
            <family val="2"/>
          </rPr>
          <t>Angell Duran:
My Evolve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<sst xmlns="http://schemas.openxmlformats.org/spreadsheetml/2006/main" count="2565" uniqueCount="633">
  <si>
    <t>Banner Health</t>
  </si>
  <si>
    <t>Carondelet Health Network</t>
  </si>
  <si>
    <t>Yuma Regional Medical Center</t>
  </si>
  <si>
    <t>Benson Hospital</t>
  </si>
  <si>
    <t>Copper Queen Community Hospital</t>
  </si>
  <si>
    <t xml:space="preserve">Wickenburg Regional Hospital </t>
  </si>
  <si>
    <t>Phoenix Children's Hospital</t>
  </si>
  <si>
    <t>Tuba City Regional Medical Center</t>
  </si>
  <si>
    <t>El Rio Health Center</t>
  </si>
  <si>
    <t>Marana Health Center, Inc.</t>
  </si>
  <si>
    <t>Mariposa Community Health Center, Inc.</t>
  </si>
  <si>
    <t>Chiricahua Community Health Centers, Inc.</t>
  </si>
  <si>
    <t>Sunset Community Health Center</t>
  </si>
  <si>
    <t>Desert Senita Community Health Center</t>
  </si>
  <si>
    <t>Participant Name</t>
  </si>
  <si>
    <t>Type</t>
  </si>
  <si>
    <t>Hospital</t>
  </si>
  <si>
    <t>Yes</t>
  </si>
  <si>
    <t>Tucson Medical Center</t>
  </si>
  <si>
    <t>Sonora Quest Labs</t>
  </si>
  <si>
    <t>AHCCCS</t>
  </si>
  <si>
    <t>BCBS-AZ</t>
  </si>
  <si>
    <t>United Healthcare</t>
  </si>
  <si>
    <t>Sunshine Pediatrics</t>
  </si>
  <si>
    <t>Lab</t>
  </si>
  <si>
    <t>LTC</t>
  </si>
  <si>
    <t>Plan</t>
  </si>
  <si>
    <t>Provider</t>
  </si>
  <si>
    <t>HIE</t>
  </si>
  <si>
    <t>La Paz Regional Medical Center</t>
  </si>
  <si>
    <t>Dignity Health</t>
  </si>
  <si>
    <t>Phoenix Health Plan</t>
  </si>
  <si>
    <t>Humana</t>
  </si>
  <si>
    <t>Cigna</t>
  </si>
  <si>
    <t>Status</t>
  </si>
  <si>
    <t>Banner Health (ambulatory)</t>
  </si>
  <si>
    <t>Northern Arizona Healthcare</t>
  </si>
  <si>
    <t>Flagstaff Children's Clinics</t>
  </si>
  <si>
    <t>BHINAz</t>
  </si>
  <si>
    <t>Sort
Group</t>
  </si>
  <si>
    <t>Little Colorado Medical Center</t>
  </si>
  <si>
    <t>Maricopa Integrated Health System</t>
  </si>
  <si>
    <t xml:space="preserve">Maricopa Integrated Health System Clinics </t>
  </si>
  <si>
    <t>Arizona Poison &amp; Drug Information Center</t>
  </si>
  <si>
    <t xml:space="preserve">Cobre Valley Regional Medical Center </t>
  </si>
  <si>
    <t>Northern Cochise Community Hospital</t>
  </si>
  <si>
    <t>Care 1st Arizona</t>
  </si>
  <si>
    <t>Health Choice Arizona</t>
  </si>
  <si>
    <t>Health Plans</t>
  </si>
  <si>
    <t>Total</t>
  </si>
  <si>
    <t>Kingman Regional Medical Center</t>
  </si>
  <si>
    <t>Community Health Systems</t>
  </si>
  <si>
    <t>FQHC</t>
  </si>
  <si>
    <t>RHC</t>
  </si>
  <si>
    <t>Arizona Orthopedic Surgical Hospital</t>
  </si>
  <si>
    <t>Arizona Spine &amp; Joint Hospital</t>
  </si>
  <si>
    <t>Canyonlands Community Health Care</t>
  </si>
  <si>
    <t>Community Health Centers of West Yavapai</t>
  </si>
  <si>
    <t>Community Healthcare of Douglas</t>
  </si>
  <si>
    <t>Copper Queen Community Hospital - Clinics</t>
  </si>
  <si>
    <t>Havasu Regional Medical Center</t>
  </si>
  <si>
    <t>Maricopa County Health Care for the Homeless</t>
  </si>
  <si>
    <t>Mayo Clinic Hospital</t>
  </si>
  <si>
    <t>Mountain Park Health Center</t>
  </si>
  <si>
    <t>Native Health</t>
  </si>
  <si>
    <t>North Country HealthCare</t>
  </si>
  <si>
    <t xml:space="preserve">Northern Cochise Community Hospital Clinic </t>
  </si>
  <si>
    <t>Summit Healthcare</t>
  </si>
  <si>
    <t>Summit Healthcare Regional Medical Center</t>
  </si>
  <si>
    <t>Sun Life Family Health Center</t>
  </si>
  <si>
    <t>United Community Health Center, Inc.</t>
  </si>
  <si>
    <t>Valley View Medical Center</t>
  </si>
  <si>
    <t>Wesley Community Center</t>
  </si>
  <si>
    <t>White Mountain Regional Medical Center</t>
  </si>
  <si>
    <t>Indian Health Services</t>
  </si>
  <si>
    <t>Unknown</t>
  </si>
  <si>
    <t>Gila River Health Care</t>
  </si>
  <si>
    <t>Gilbert Hospital</t>
  </si>
  <si>
    <t xml:space="preserve">Community Hospital Clinic at Wickenburg </t>
  </si>
  <si>
    <t xml:space="preserve">La Paz Regional Hospital Clinic </t>
  </si>
  <si>
    <t>Yavapai Regional Medical Center</t>
  </si>
  <si>
    <t>Hospitals</t>
  </si>
  <si>
    <t>Reference Labs</t>
  </si>
  <si>
    <t>Providers</t>
  </si>
  <si>
    <t>Others</t>
  </si>
  <si>
    <t>Tucson Children's Clinics - MSIC</t>
  </si>
  <si>
    <t>Mount Graham Regional Medical Center</t>
  </si>
  <si>
    <t xml:space="preserve">Surgical Specialty Hospital of Phoenix </t>
  </si>
  <si>
    <t>OASIS Hospital</t>
  </si>
  <si>
    <t>LabCorp</t>
  </si>
  <si>
    <t>Sage Memorial Hospital</t>
  </si>
  <si>
    <t>Critical Access Hospitals</t>
  </si>
  <si>
    <t>Beds</t>
  </si>
  <si>
    <t>Type of Participant</t>
  </si>
  <si>
    <t>Cancer Treatment Centers of America</t>
  </si>
  <si>
    <t>HonorHealth</t>
  </si>
  <si>
    <t>CAH</t>
  </si>
  <si>
    <t>Neighborhood Outreach Action for Health</t>
  </si>
  <si>
    <t>Superior Clinic (at Cobre Valley)</t>
  </si>
  <si>
    <t>Comprehensive Medical and Dental Program</t>
  </si>
  <si>
    <t>HealthNet</t>
  </si>
  <si>
    <t>Yuma Children's Clinics - MSIC</t>
  </si>
  <si>
    <t>Canyon Vista Medical Center</t>
  </si>
  <si>
    <t>Bridgeway</t>
  </si>
  <si>
    <t>Count</t>
  </si>
  <si>
    <t>Discharges</t>
  </si>
  <si>
    <t>The Network</t>
  </si>
  <si>
    <t>Underway</t>
  </si>
  <si>
    <t>Planning</t>
  </si>
  <si>
    <t>Cenpatico Integrated Care</t>
  </si>
  <si>
    <t>RBHA</t>
  </si>
  <si>
    <t>Health Choice Integrated Care</t>
  </si>
  <si>
    <t>District Medical Group</t>
  </si>
  <si>
    <t>MD24 House Call</t>
  </si>
  <si>
    <t>Abrazo Health</t>
  </si>
  <si>
    <t>See Banner</t>
  </si>
  <si>
    <t>Hacienda HealthCare</t>
  </si>
  <si>
    <t>Maricopa County</t>
  </si>
  <si>
    <t>IASIS Healthcare</t>
  </si>
  <si>
    <t>HIE Service Project Stages: 1) Planning, 2) Underway, 3) Operational</t>
  </si>
  <si>
    <t>Operational</t>
  </si>
  <si>
    <t>Planning underway with VA</t>
  </si>
  <si>
    <t>Phoenix Children's Clinics - MSIC (DMG)</t>
  </si>
  <si>
    <t>Optum Medical Network</t>
  </si>
  <si>
    <t>Arizona Sun Family Medicine</t>
  </si>
  <si>
    <t>Federally Qualified Health Centers</t>
  </si>
  <si>
    <t>Rural Health Centers</t>
  </si>
  <si>
    <t>Community Providers</t>
  </si>
  <si>
    <t>Other Health Care Organizations</t>
  </si>
  <si>
    <t>Carondelet Health Network (ambulatory)</t>
  </si>
  <si>
    <t>Hospitals &amp; Health Systems</t>
  </si>
  <si>
    <t>Adelante Healthcare, Inc.</t>
  </si>
  <si>
    <t>Barnett Dulaney Perkins Eye Center</t>
  </si>
  <si>
    <t>Included</t>
  </si>
  <si>
    <t>Heading</t>
  </si>
  <si>
    <t>Maricopa Integrated Health System (ambulatory)</t>
  </si>
  <si>
    <t>Banner Health University Campuses</t>
  </si>
  <si>
    <t>Valley Anesthesiology &amp; Pain Consultants (pilot program)</t>
  </si>
  <si>
    <t>Med-Cure Internal Medicine</t>
  </si>
  <si>
    <t>Page Family Practice</t>
  </si>
  <si>
    <t>Virginia G Piper (St. Vincent DePaul Clinics)</t>
  </si>
  <si>
    <t>Assurance Health &amp; Wellness</t>
  </si>
  <si>
    <t>Connections AZ</t>
  </si>
  <si>
    <t>Crisis Preparation &amp; Recovery, Inc.</t>
  </si>
  <si>
    <t>Crisis Response Network</t>
  </si>
  <si>
    <t>Lifewell Behavioral Wellness</t>
  </si>
  <si>
    <t>Community Bridges</t>
  </si>
  <si>
    <t>Project Manager</t>
  </si>
  <si>
    <t>Jaime</t>
  </si>
  <si>
    <t>Ted</t>
  </si>
  <si>
    <t>Keith</t>
  </si>
  <si>
    <t>Brett</t>
  </si>
  <si>
    <t>New Pueblo</t>
  </si>
  <si>
    <t>East Flagstaff Family Medicine</t>
  </si>
  <si>
    <t>Pima Lung and Sleep</t>
  </si>
  <si>
    <t>Chuck</t>
  </si>
  <si>
    <t>Subsidy = Hospital, FQHC, Plan, RHC (Medicaid driven)</t>
  </si>
  <si>
    <t>Options Medical</t>
  </si>
  <si>
    <t>Pima County (Corrections)</t>
  </si>
  <si>
    <t>Mercy Care Plan</t>
  </si>
  <si>
    <t>Maricopa Health Plan</t>
  </si>
  <si>
    <t>Arizona Department of Health Services</t>
  </si>
  <si>
    <t>Gov't</t>
  </si>
  <si>
    <t>City of Surprise Fire-Medical</t>
  </si>
  <si>
    <t>Chicanos Por La Causa (CPLC)</t>
  </si>
  <si>
    <t>La Frontera - EMPACT</t>
  </si>
  <si>
    <t>Lifeprint Accountable Care Organization</t>
  </si>
  <si>
    <t>Partners In Recovery</t>
  </si>
  <si>
    <t>Recovery Innovations</t>
  </si>
  <si>
    <t>Terros</t>
  </si>
  <si>
    <t>Desert Kidney Associates</t>
  </si>
  <si>
    <t>Gila Valley Clinica</t>
  </si>
  <si>
    <t>Homewood Family Physicians</t>
  </si>
  <si>
    <t>Plaza Healthcare</t>
  </si>
  <si>
    <t>Southern Arizona Infectious Disease Specialists</t>
  </si>
  <si>
    <t>Universal Care Management</t>
  </si>
  <si>
    <t>Onboarding
Status</t>
  </si>
  <si>
    <t>Participant</t>
  </si>
  <si>
    <t>Participation Date</t>
  </si>
  <si>
    <t>Participation and Onboarding Status</t>
  </si>
  <si>
    <t>Onboarding 
Date</t>
  </si>
  <si>
    <t>* Community Providers consist of independent physician practices, behavioral health providers, and ACOs</t>
  </si>
  <si>
    <t>Pima County Corrections</t>
  </si>
  <si>
    <t>Mercy Maricopa Integrated Care</t>
  </si>
  <si>
    <t>University of Arizona Health Plans</t>
  </si>
  <si>
    <t>Other Health Care Organizations (7)</t>
  </si>
  <si>
    <t>Health Plans (13)</t>
  </si>
  <si>
    <t>Federally Qualified Health Centers (13)</t>
  </si>
  <si>
    <t>Critical Access Hospitals (5)</t>
  </si>
  <si>
    <t>Hospitals &amp; Health Systems (9)</t>
  </si>
  <si>
    <t>San Luis Walk-In Clinic/Regional Center for Border Health</t>
  </si>
  <si>
    <t>Community Providers (36)*</t>
  </si>
  <si>
    <t>Dr. Bart J. Carter, MD</t>
  </si>
  <si>
    <t>San Pedro Family Care</t>
  </si>
  <si>
    <t>Saguaro Surgical</t>
  </si>
  <si>
    <t>Behavioral Health &amp; Crisis Providers</t>
  </si>
  <si>
    <t>ACO &amp; CIN</t>
  </si>
  <si>
    <t>Southeastern Arizona Behavioral Health Services, Inc.</t>
  </si>
  <si>
    <t>Rural Health Centers (3)</t>
  </si>
  <si>
    <t>Participation Status and Onboarding Schedules</t>
  </si>
  <si>
    <t>Inbound
Data
Feed
(M2)</t>
  </si>
  <si>
    <t>Participation Agreement Signed
(M1)</t>
  </si>
  <si>
    <t>Outbound
Data Feed, Query/Response or Alerts
(M3)</t>
  </si>
  <si>
    <t>HIE
Subsidy
Eligibility</t>
  </si>
  <si>
    <t>SHIP
Subsidy
Eligibility</t>
  </si>
  <si>
    <t>Arizona Community Physicians</t>
  </si>
  <si>
    <t>Arizona Family Care</t>
  </si>
  <si>
    <t>Arizona Kidney Disease &amp; Hypertension Centers</t>
  </si>
  <si>
    <t>Bart J. Carter, MD</t>
  </si>
  <si>
    <t>New Pueblo Medicine</t>
  </si>
  <si>
    <t>Pima Heart</t>
  </si>
  <si>
    <t>Valley Anesthesiology &amp; Pain Consultants</t>
  </si>
  <si>
    <t>CODAC Health Recovery Wellness, Inc.</t>
  </si>
  <si>
    <t>Touchstone Behavioral Health</t>
  </si>
  <si>
    <t>Valle del Sol</t>
  </si>
  <si>
    <t>Southwest Network</t>
  </si>
  <si>
    <t>Arizona Connected Care</t>
  </si>
  <si>
    <t>Health Information Exchanges</t>
  </si>
  <si>
    <t>State &amp; Local Government</t>
  </si>
  <si>
    <t>Arizona Health Care Cost Containment System (AHCCCS)</t>
  </si>
  <si>
    <t>Arizona Department of Health Services (ADHS)</t>
  </si>
  <si>
    <t>A Heading</t>
  </si>
  <si>
    <t>Government</t>
  </si>
  <si>
    <t>Behavioral Health Providers</t>
  </si>
  <si>
    <t>ACOs</t>
  </si>
  <si>
    <t>M2</t>
  </si>
  <si>
    <t>M3</t>
  </si>
  <si>
    <t>Bayless Healthcare Group</t>
  </si>
  <si>
    <t>Done</t>
  </si>
  <si>
    <t>done</t>
  </si>
  <si>
    <t>*</t>
  </si>
  <si>
    <t>Heart and Vascular Center of Arizona</t>
  </si>
  <si>
    <t>Mountain View Pediatrics</t>
  </si>
  <si>
    <t>TMC One</t>
  </si>
  <si>
    <t>HealthNet/Bridge</t>
  </si>
  <si>
    <t>TRN pending</t>
  </si>
  <si>
    <t>CCD Content correction requirement</t>
  </si>
  <si>
    <t>Epic  CCD channel fix; TRN Data</t>
  </si>
  <si>
    <t>Support</t>
  </si>
  <si>
    <t>Reference Labs &amp; Imaging Centers</t>
  </si>
  <si>
    <t>Catelyn</t>
  </si>
  <si>
    <t>New</t>
  </si>
  <si>
    <t>Abrazo Medical Group</t>
  </si>
  <si>
    <t>Palo Verde Family Care</t>
  </si>
  <si>
    <t>Sound Physicians</t>
  </si>
  <si>
    <t>Arizona Counseling &amp; Treatment Services</t>
  </si>
  <si>
    <t>NAZCARE, INC</t>
  </si>
  <si>
    <t>Pasadera Behavioral Health Network</t>
  </si>
  <si>
    <t>The Phoenix Shanti Group</t>
  </si>
  <si>
    <t>Angell</t>
  </si>
  <si>
    <t>TCPI</t>
  </si>
  <si>
    <t>SHIP</t>
  </si>
  <si>
    <t xml:space="preserve">Northwest NeuroSpecialists </t>
  </si>
  <si>
    <t xml:space="preserve">Arizona Pain Specialist </t>
  </si>
  <si>
    <t>Cope Community Services</t>
  </si>
  <si>
    <t>LifeShare Management Group</t>
  </si>
  <si>
    <t>Yuma Nephrology, PC</t>
  </si>
  <si>
    <t xml:space="preserve">Desert Family Medicine </t>
  </si>
  <si>
    <t xml:space="preserve">Community Partnership Care Coordination </t>
  </si>
  <si>
    <t>Dorothy L. Wong Medical Offices</t>
  </si>
  <si>
    <t>5/24 - Waiting on TRN feed</t>
  </si>
  <si>
    <t>Jewish Family &amp; Children's Services</t>
  </si>
  <si>
    <t>Workflow hand off</t>
  </si>
  <si>
    <t>Old Pueblo Community Services</t>
  </si>
  <si>
    <t>Delayed Implementation</t>
  </si>
  <si>
    <t>Horizon Health and Wellness</t>
  </si>
  <si>
    <t>Southwest Behavioral &amp; Health Services</t>
  </si>
  <si>
    <t>Wesley Community Health Center</t>
  </si>
  <si>
    <t>Arizona's Children Association</t>
  </si>
  <si>
    <t xml:space="preserve">Community Bridges, Inc. </t>
  </si>
  <si>
    <t>ConnectionsAz</t>
  </si>
  <si>
    <t>Beech Medical Group, Inc.</t>
  </si>
  <si>
    <t>Gila Valley Clinic</t>
  </si>
  <si>
    <t>Sante' Partners, LLC</t>
  </si>
  <si>
    <t>Canyonlands Healthcare</t>
  </si>
  <si>
    <t>Marana Health Center</t>
  </si>
  <si>
    <t>Mariposa Community Health Center</t>
  </si>
  <si>
    <t>United Community Health Center</t>
  </si>
  <si>
    <t xml:space="preserve">Bridgeway Healthcare Solutions </t>
  </si>
  <si>
    <t>Payer</t>
  </si>
  <si>
    <t>Quality Health Network (QHIN) Western Colorado</t>
  </si>
  <si>
    <t>Utah Health Information Network (UHIN)</t>
  </si>
  <si>
    <t>Rio Rico Medical &amp; Fire District</t>
  </si>
  <si>
    <t>IASIS Healthcare, LLC</t>
  </si>
  <si>
    <t>Tucson Medical Center (TMC Healthcare)</t>
  </si>
  <si>
    <t xml:space="preserve">Christopher Moor, MD </t>
  </si>
  <si>
    <t xml:space="preserve">Marc Community Resources, Inc. </t>
  </si>
  <si>
    <t>Home Health Insights, Inc.</t>
  </si>
  <si>
    <t>Commonwealth Primary Care ACO, LLC</t>
  </si>
  <si>
    <t xml:space="preserve">Hope, Inc. </t>
  </si>
  <si>
    <t>True Care MD</t>
  </si>
  <si>
    <t>ADT Live 6/1</t>
  </si>
  <si>
    <t>EHR/EMR</t>
  </si>
  <si>
    <t>Meditech</t>
  </si>
  <si>
    <t>Epic</t>
  </si>
  <si>
    <t>Credible</t>
  </si>
  <si>
    <t>Nextgen</t>
  </si>
  <si>
    <t>Cerner/Allscripts</t>
  </si>
  <si>
    <t>McKesson</t>
  </si>
  <si>
    <t>Athena/Doctalk</t>
  </si>
  <si>
    <t>Cerner</t>
  </si>
  <si>
    <t xml:space="preserve">Epic </t>
  </si>
  <si>
    <t xml:space="preserve">Allscripts </t>
  </si>
  <si>
    <t xml:space="preserve">Athena </t>
  </si>
  <si>
    <t>HMS</t>
  </si>
  <si>
    <t>CPSI</t>
  </si>
  <si>
    <t>NextGen</t>
  </si>
  <si>
    <t>GE Centricity</t>
  </si>
  <si>
    <t>eCW</t>
  </si>
  <si>
    <t>Athena</t>
  </si>
  <si>
    <t>Delayed Implementation till July 16</t>
  </si>
  <si>
    <t>Cerner/Athena</t>
  </si>
  <si>
    <t>3 month f/u w/WF 6/16</t>
  </si>
  <si>
    <t>Interface Team</t>
  </si>
  <si>
    <t>NurseWise</t>
  </si>
  <si>
    <t>ECS</t>
  </si>
  <si>
    <t>Rio Salado Behavioral Health Services</t>
  </si>
  <si>
    <t>None</t>
  </si>
  <si>
    <t>Native American Connections</t>
  </si>
  <si>
    <t>Cigna Medical Group</t>
  </si>
  <si>
    <t>Avitar</t>
  </si>
  <si>
    <t>ClaimTrak</t>
  </si>
  <si>
    <t>Mirth</t>
  </si>
  <si>
    <t>Zen</t>
  </si>
  <si>
    <t xml:space="preserve">ASAP Health Solutions Inc. </t>
  </si>
  <si>
    <t>eMDs</t>
  </si>
  <si>
    <t>Community Medical Services</t>
  </si>
  <si>
    <t xml:space="preserve">On hold for bi-directional </t>
  </si>
  <si>
    <t>Methasoft</t>
  </si>
  <si>
    <t>SNF</t>
  </si>
  <si>
    <t>Hacienda Healthcare</t>
  </si>
  <si>
    <t>Mayo</t>
  </si>
  <si>
    <t xml:space="preserve">OASIS Hospital </t>
  </si>
  <si>
    <t>Maricopa Integrated Health Care for the Homeless</t>
  </si>
  <si>
    <t xml:space="preserve">Neighborhood Outreach Action for Health </t>
  </si>
  <si>
    <t>Gila Health Resources</t>
  </si>
  <si>
    <t>MomDoc</t>
  </si>
  <si>
    <t>OptumCare Complex Care Management</t>
  </si>
  <si>
    <t xml:space="preserve">Pulmonary Institute of Arizona </t>
  </si>
  <si>
    <t xml:space="preserve">Sunshine Pediatrics </t>
  </si>
  <si>
    <t>Circle the City</t>
  </si>
  <si>
    <t xml:space="preserve">EMPACT - La Frontera </t>
  </si>
  <si>
    <t>La Frontera Center, Inc</t>
  </si>
  <si>
    <t>River Gardens, LTD</t>
  </si>
  <si>
    <t xml:space="preserve">The Lingenfelter Center, Ltd. </t>
  </si>
  <si>
    <t>The Legacy Rehab &amp; Care Center</t>
  </si>
  <si>
    <t>The Gardens Rehab &amp; Care Center</t>
  </si>
  <si>
    <t>Care 1st AZ</t>
  </si>
  <si>
    <t xml:space="preserve">Cigna </t>
  </si>
  <si>
    <t xml:space="preserve">Comprehensive Medical And Dental Program </t>
  </si>
  <si>
    <t>Phoenix Childrens Care Network (PCCN)</t>
  </si>
  <si>
    <t xml:space="preserve">Sonoita-Elgin Fire District </t>
  </si>
  <si>
    <t>ECW</t>
  </si>
  <si>
    <t xml:space="preserve">Post Acute Care Provider </t>
  </si>
  <si>
    <t>Coconino County (Jail)</t>
  </si>
  <si>
    <t>RPMS Suite(BCER)</t>
  </si>
  <si>
    <t>Aprima</t>
  </si>
  <si>
    <t>Greenway</t>
  </si>
  <si>
    <t xml:space="preserve">Easter Seals Blake Foundation </t>
  </si>
  <si>
    <t>Open Hearts Arizona</t>
  </si>
  <si>
    <t>Crossroads Mission</t>
  </si>
  <si>
    <t>Community Provider Enrichment Services (CPES)</t>
  </si>
  <si>
    <t>Youth Advocate Programs</t>
  </si>
  <si>
    <t>Netsmart</t>
  </si>
  <si>
    <t>A New Leaf</t>
  </si>
  <si>
    <t>St. Elizabeth's Health Center</t>
  </si>
  <si>
    <t xml:space="preserve">Children's Rehabilitative Services - Tucson </t>
  </si>
  <si>
    <t>Spectrum</t>
  </si>
  <si>
    <t xml:space="preserve">Sonoran Medical Centers </t>
  </si>
  <si>
    <t>Pinal Hispanic Council</t>
  </si>
  <si>
    <t>MIKID</t>
  </si>
  <si>
    <t>E-clinical</t>
  </si>
  <si>
    <t>Dropped out due to lack of support from eCW</t>
  </si>
  <si>
    <t>What about Care 1st/Catalyst Patners? Same participant or new line?</t>
  </si>
  <si>
    <t>AKA Health Choice High ER</t>
  </si>
  <si>
    <t>Continue to have VPN issues. They are receiving data but there are issues with the HL7 version. Don't know when we'll be able to transion to live.</t>
  </si>
  <si>
    <t>San Tan Behavioral Health Services</t>
  </si>
  <si>
    <t>HIMS</t>
  </si>
  <si>
    <t>Little Colorado Behavioral Health Centers</t>
  </si>
  <si>
    <t>Community Health Associates (Yuma)</t>
  </si>
  <si>
    <t xml:space="preserve">Desert Spine Institute </t>
  </si>
  <si>
    <t>West Yavapai Guidance Clinic</t>
  </si>
  <si>
    <t xml:space="preserve">Helping Hearts Residential Facility </t>
  </si>
  <si>
    <t>postpone until after the 20th so she can discuss with the case managers.</t>
  </si>
  <si>
    <t>Yuma Gastroenterology</t>
  </si>
  <si>
    <t>delayed HL7 until end of 2016/early 2017</t>
  </si>
  <si>
    <t>Corazon Integrated Healthcare Services</t>
  </si>
  <si>
    <t>Pace Plus</t>
  </si>
  <si>
    <t>Phoenix Medical Group</t>
  </si>
  <si>
    <t xml:space="preserve">New Hope of Arizona </t>
  </si>
  <si>
    <t>Paper</t>
  </si>
  <si>
    <t>Intermountain Centers for Human Development</t>
  </si>
  <si>
    <t>Evolv Systems</t>
  </si>
  <si>
    <t>Family Service Agency</t>
  </si>
  <si>
    <t>Casa De Los Ninos</t>
  </si>
  <si>
    <t>Arizona Youth &amp; Family Services</t>
  </si>
  <si>
    <t>EHR Implementations</t>
  </si>
  <si>
    <t xml:space="preserve">Tangible Solutions </t>
  </si>
  <si>
    <t>yes</t>
  </si>
  <si>
    <t>EHR</t>
  </si>
  <si>
    <t>on-hold as of 7/15, NW Neuro waiting to hire a new manager to take over HIE project</t>
  </si>
  <si>
    <t>PSA Behavioral Health Agency</t>
  </si>
  <si>
    <t>Child &amp; Family Support Services</t>
  </si>
  <si>
    <t>PSNet</t>
  </si>
  <si>
    <t>Zarephath</t>
  </si>
  <si>
    <t>Human Services Consultants</t>
  </si>
  <si>
    <t>Kaleidacare</t>
  </si>
  <si>
    <t>Pathways of Arizona</t>
  </si>
  <si>
    <t>Bayada Home Health Care</t>
  </si>
  <si>
    <t>Home Care Home Base</t>
  </si>
  <si>
    <t>Abrazo Community Health Network</t>
  </si>
  <si>
    <t>O000066</t>
  </si>
  <si>
    <t>O000473</t>
  </si>
  <si>
    <t>O000535</t>
  </si>
  <si>
    <t>O000634</t>
  </si>
  <si>
    <t>O000691</t>
  </si>
  <si>
    <t>O000923</t>
  </si>
  <si>
    <t>O000966</t>
  </si>
  <si>
    <t>O001092</t>
  </si>
  <si>
    <t>Cobre Valley Regional Medical Center</t>
  </si>
  <si>
    <t>O000547</t>
  </si>
  <si>
    <t>O000564</t>
  </si>
  <si>
    <t>O001056</t>
  </si>
  <si>
    <t>O000169</t>
  </si>
  <si>
    <t>O000211</t>
  </si>
  <si>
    <t>O000341</t>
  </si>
  <si>
    <t>O000584</t>
  </si>
  <si>
    <t>O000653</t>
  </si>
  <si>
    <t>O000907</t>
  </si>
  <si>
    <t>O000257</t>
  </si>
  <si>
    <t>O000678</t>
  </si>
  <si>
    <t>O000838</t>
  </si>
  <si>
    <t>Abrazo Heart Institute</t>
  </si>
  <si>
    <t>Angela Wyatt Dermatology</t>
  </si>
  <si>
    <t>O000055</t>
  </si>
  <si>
    <t>O000067</t>
  </si>
  <si>
    <t>O000083</t>
  </si>
  <si>
    <t>O000113</t>
  </si>
  <si>
    <t xml:space="preserve">Barnett Dulaney Perkins Eye Center </t>
  </si>
  <si>
    <t>O000123</t>
  </si>
  <si>
    <t>O000128</t>
  </si>
  <si>
    <t>O000173</t>
  </si>
  <si>
    <t>O000216</t>
  </si>
  <si>
    <t>O000286</t>
  </si>
  <si>
    <t>O000294</t>
  </si>
  <si>
    <t>Foundation for Senior Living</t>
  </si>
  <si>
    <t>O000457</t>
  </si>
  <si>
    <t>O000601</t>
  </si>
  <si>
    <t>O000684</t>
  </si>
  <si>
    <t>O000700</t>
  </si>
  <si>
    <t>O000749</t>
  </si>
  <si>
    <t>O000756</t>
  </si>
  <si>
    <t xml:space="preserve">Pima Lung and Sleep Center </t>
  </si>
  <si>
    <t>O000765</t>
  </si>
  <si>
    <t>O000791</t>
  </si>
  <si>
    <t>O000883</t>
  </si>
  <si>
    <t>O000978</t>
  </si>
  <si>
    <t xml:space="preserve">Universal Care Management </t>
  </si>
  <si>
    <t>O000992</t>
  </si>
  <si>
    <t>O001024</t>
  </si>
  <si>
    <t>O001083</t>
  </si>
  <si>
    <t>O001085</t>
  </si>
  <si>
    <t>O000076</t>
  </si>
  <si>
    <t>O000200</t>
  </si>
  <si>
    <t>O000202</t>
  </si>
  <si>
    <t>O000219</t>
  </si>
  <si>
    <t>O000233</t>
  </si>
  <si>
    <t>O000238</t>
  </si>
  <si>
    <t>O000240</t>
  </si>
  <si>
    <t>O000246</t>
  </si>
  <si>
    <t>O000256</t>
  </si>
  <si>
    <t>O000264</t>
  </si>
  <si>
    <t>O000146</t>
  </si>
  <si>
    <t>O000546</t>
  </si>
  <si>
    <t>O000447</t>
  </si>
  <si>
    <t>O000460</t>
  </si>
  <si>
    <t>O000469</t>
  </si>
  <si>
    <t>O000490</t>
  </si>
  <si>
    <t>O000549</t>
  </si>
  <si>
    <t>O000559</t>
  </si>
  <si>
    <t>O000563</t>
  </si>
  <si>
    <t>O000578</t>
  </si>
  <si>
    <t>O000652</t>
  </si>
  <si>
    <t>O000656</t>
  </si>
  <si>
    <t>O000699</t>
  </si>
  <si>
    <t>O000722</t>
  </si>
  <si>
    <t>O000724</t>
  </si>
  <si>
    <t>O000767</t>
  </si>
  <si>
    <t>O000819</t>
  </si>
  <si>
    <t>O000840</t>
  </si>
  <si>
    <t>O000904</t>
  </si>
  <si>
    <t>O000891</t>
  </si>
  <si>
    <t>O000943</t>
  </si>
  <si>
    <t>O001001</t>
  </si>
  <si>
    <t>O001048</t>
  </si>
  <si>
    <t>O000125</t>
  </si>
  <si>
    <t>O000820</t>
  </si>
  <si>
    <t>O000950</t>
  </si>
  <si>
    <t>O000152</t>
  </si>
  <si>
    <t>O000172</t>
  </si>
  <si>
    <t>O000185</t>
  </si>
  <si>
    <t>O000217</t>
  </si>
  <si>
    <t>O000439</t>
  </si>
  <si>
    <t>O000442</t>
  </si>
  <si>
    <t xml:space="preserve">Mercy Maricopa Integrated Care </t>
  </si>
  <si>
    <t xml:space="preserve">United Healthcare </t>
  </si>
  <si>
    <t>O000991</t>
  </si>
  <si>
    <t>O000237</t>
  </si>
  <si>
    <t>O000748</t>
  </si>
  <si>
    <t xml:space="preserve">Sonora Quest Laboratiories </t>
  </si>
  <si>
    <t>O000884</t>
  </si>
  <si>
    <t>O000582</t>
  </si>
  <si>
    <t xml:space="preserve">Pima County (Corrections) </t>
  </si>
  <si>
    <t>O000881</t>
  </si>
  <si>
    <t>O000129</t>
  </si>
  <si>
    <t>O000796</t>
  </si>
  <si>
    <t>O000441</t>
  </si>
  <si>
    <t xml:space="preserve">Cancer Treatment Centers of America </t>
  </si>
  <si>
    <t>O000015</t>
  </si>
  <si>
    <t>O000311</t>
  </si>
  <si>
    <t>O000458</t>
  </si>
  <si>
    <t>O000676</t>
  </si>
  <si>
    <t>O000979</t>
  </si>
  <si>
    <t>O001011</t>
  </si>
  <si>
    <t>O001077</t>
  </si>
  <si>
    <t>O000136</t>
  </si>
  <si>
    <t>O000230</t>
  </si>
  <si>
    <t>O000022</t>
  </si>
  <si>
    <t>O000241</t>
  </si>
  <si>
    <t>O000293</t>
  </si>
  <si>
    <t>O000577</t>
  </si>
  <si>
    <t>O000587</t>
  </si>
  <si>
    <t>O000637</t>
  </si>
  <si>
    <t>O000649</t>
  </si>
  <si>
    <t>O000673</t>
  </si>
  <si>
    <t>O000924</t>
  </si>
  <si>
    <t>O000929</t>
  </si>
  <si>
    <t>O000990</t>
  </si>
  <si>
    <t>O001041</t>
  </si>
  <si>
    <t>O000016</t>
  </si>
  <si>
    <t>O000017</t>
  </si>
  <si>
    <t>O000047</t>
  </si>
  <si>
    <t>O000059</t>
  </si>
  <si>
    <t>O000064</t>
  </si>
  <si>
    <t>O000074</t>
  </si>
  <si>
    <t>O000124</t>
  </si>
  <si>
    <t>O000218</t>
  </si>
  <si>
    <t>O000313</t>
  </si>
  <si>
    <t>O000316</t>
  </si>
  <si>
    <t>O000329</t>
  </si>
  <si>
    <t>O000377</t>
  </si>
  <si>
    <t>O000395</t>
  </si>
  <si>
    <t>O000396</t>
  </si>
  <si>
    <t>O000444</t>
  </si>
  <si>
    <t>O000456</t>
  </si>
  <si>
    <t>O000603</t>
  </si>
  <si>
    <t>O000630</t>
  </si>
  <si>
    <t>O000638</t>
  </si>
  <si>
    <t>O000659</t>
  </si>
  <si>
    <t>O000708</t>
  </si>
  <si>
    <t>O000714</t>
  </si>
  <si>
    <t>O000763</t>
  </si>
  <si>
    <t>O000772</t>
  </si>
  <si>
    <t>O000833</t>
  </si>
  <si>
    <t>O000839</t>
  </si>
  <si>
    <t>O000847</t>
  </si>
  <si>
    <t>O000887</t>
  </si>
  <si>
    <t>O000889</t>
  </si>
  <si>
    <t>O001005</t>
  </si>
  <si>
    <t>O001088</t>
  </si>
  <si>
    <t>O000077</t>
  </si>
  <si>
    <t>O000057</t>
  </si>
  <si>
    <t>O000086</t>
  </si>
  <si>
    <t>O000008</t>
  </si>
  <si>
    <t>O000126</t>
  </si>
  <si>
    <t>O000179</t>
  </si>
  <si>
    <t>O000244</t>
  </si>
  <si>
    <t>O000245</t>
  </si>
  <si>
    <t>O000251</t>
  </si>
  <si>
    <t>O000258</t>
  </si>
  <si>
    <t>O000265</t>
  </si>
  <si>
    <t>O000266</t>
  </si>
  <si>
    <t>O000360</t>
  </si>
  <si>
    <t>O000463</t>
  </si>
  <si>
    <t>O000506</t>
  </si>
  <si>
    <t>O000560</t>
  </si>
  <si>
    <t>O000648</t>
  </si>
  <si>
    <t>O000689</t>
  </si>
  <si>
    <t>O000694</t>
  </si>
  <si>
    <t>O000721</t>
  </si>
  <si>
    <t>O000805</t>
  </si>
  <si>
    <t>O000888</t>
  </si>
  <si>
    <t>O000898</t>
  </si>
  <si>
    <t>O000957</t>
  </si>
  <si>
    <t>O000969</t>
  </si>
  <si>
    <t>O001081</t>
  </si>
  <si>
    <t>O001099</t>
  </si>
  <si>
    <t>O000947</t>
  </si>
  <si>
    <t>O000949</t>
  </si>
  <si>
    <t>O000062</t>
  </si>
  <si>
    <t>O000583</t>
  </si>
  <si>
    <t>O000612</t>
  </si>
  <si>
    <t>O000613</t>
  </si>
  <si>
    <t>O000754</t>
  </si>
  <si>
    <t>O000993</t>
  </si>
  <si>
    <t>O000056</t>
  </si>
  <si>
    <t>O000558</t>
  </si>
  <si>
    <t>O000701</t>
  </si>
  <si>
    <t>O000548</t>
  </si>
  <si>
    <t>O000221</t>
  </si>
  <si>
    <t>O000762</t>
  </si>
  <si>
    <t>O000818</t>
  </si>
  <si>
    <t>O000999</t>
  </si>
  <si>
    <t>OrganizationID</t>
  </si>
  <si>
    <t>85  Active Projects</t>
  </si>
  <si>
    <t>99%  
Licensed Beds Participating</t>
  </si>
  <si>
    <t>100%  
Discharges Participating</t>
  </si>
  <si>
    <t>2435   Providers Participating</t>
  </si>
  <si>
    <t>66  New  ---
184  Total
Participants</t>
  </si>
  <si>
    <t>24  
Operational
Inbound
Data Feeds</t>
  </si>
  <si>
    <t>3  
Operational
Outbound
Data Feeds</t>
  </si>
  <si>
    <t>3  
Operational
Query/Response
Installations</t>
  </si>
  <si>
    <t>24  
Operational
Portal
Installations</t>
  </si>
  <si>
    <t>17  
Operational
Alerts 
Installations</t>
  </si>
  <si>
    <t>15  
Operational
Direct Email
Installations</t>
  </si>
  <si>
    <t>0  
Operational
Crisis Portal
Installations</t>
  </si>
  <si>
    <t>Yes - underway or planning with respect to roadmap(inbound/outbound feed)</t>
  </si>
  <si>
    <t>This should ideally be named from Recruitment</t>
  </si>
  <si>
    <t>From Workflow or Project Manager</t>
  </si>
  <si>
    <t>Sort Number assignment for participant type(Hospital/Healthsystem etc)</t>
  </si>
  <si>
    <t>Yes - data ideally from recruitment</t>
  </si>
  <si>
    <t>From Technical implementation end assignment</t>
  </si>
  <si>
    <t>Interface analyst from Mirth, Zen or AzHec responsible for the participant implementation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</si>
</sst>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[$-409]mmmm\ d\,\ yyyy;@"/>
    <numFmt numFmtId="165" formatCode="_(* #,##0_);_(* \(#,##0\);_(* &quot;-&quot;??_);_(@_)"/>
    <numFmt numFmtId="166" formatCode="####\ ##\ ##"/>
    <numFmt numFmtId="167" formatCode="[$-409]mmm\-yy;@"/>
    <numFmt numFmtId="168" formatCode="mm/dd/yy;@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indexed="8"/>
      <name val="Calibri"/>
      <family val="2"/>
    </font>
    <font>
      <sz val="16"/>
      <name val="Calibri"/>
      <family val="2"/>
      <scheme val="minor"/>
    </font>
    <font>
      <b/>
      <sz val="20"/>
      <color theme="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</font>
    <font>
      <b/>
      <sz val="14"/>
      <name val="Arial"/>
      <family val="2"/>
    </font>
    <font>
      <b/>
      <sz val="16"/>
      <name val="Calibri"/>
      <family val="2"/>
      <scheme val="minor"/>
    </font>
    <font>
      <sz val="16"/>
      <name val="Calibri"/>
      <family val="2"/>
    </font>
    <font>
      <b/>
      <sz val="18"/>
      <color rgb="FF0070C0"/>
      <name val="Arial"/>
      <family val="2"/>
    </font>
    <font>
      <b/>
      <sz val="16"/>
      <color rgb="FF0070C0"/>
      <name val="Calibri"/>
      <family val="2"/>
      <scheme val="minor"/>
    </font>
    <font>
      <b/>
      <sz val="16"/>
      <name val="Calibri"/>
      <family val="2"/>
    </font>
    <font>
      <b/>
      <sz val="16"/>
      <color indexed="8"/>
      <name val="Calibri"/>
      <family val="2"/>
    </font>
    <font>
      <b/>
      <sz val="15"/>
      <color theme="1"/>
      <name val="Calibri"/>
      <family val="2"/>
      <scheme val="minor"/>
    </font>
    <font>
      <b/>
      <sz val="15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</font>
    <font>
      <b/>
      <sz val="12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name val="Calibri"/>
      <family val="2"/>
      <scheme val="minor"/>
    </font>
    <font>
      <b/>
      <sz val="1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Font="1" applyAlignment="1">
      <alignment wrapText="1"/>
    </xf>
    <xf numFmtId="0" fontId="0" fillId="0" borderId="0" xfId="0" applyFont="1" applyAlignment="1">
      <alignment horizontal="center" wrapText="1"/>
    </xf>
    <xf numFmtId="0" fontId="1" fillId="0" borderId="0" xfId="0" applyFont="1" applyFill="1" applyAlignment="1">
      <alignment horizontal="center"/>
    </xf>
    <xf numFmtId="0" fontId="0" fillId="0" borderId="0" xfId="0" applyFont="1"/>
    <xf numFmtId="0" fontId="0" fillId="0" borderId="0" xfId="0" applyFont="1" applyFill="1"/>
    <xf numFmtId="0" fontId="1" fillId="0" borderId="0" xfId="0" applyFont="1"/>
    <xf numFmtId="0" fontId="3" fillId="0" borderId="0" xfId="0" applyFont="1" applyAlignment="1">
      <alignment horizontal="center" wrapText="1"/>
    </xf>
    <xf numFmtId="0" fontId="7" fillId="0" borderId="1" xfId="0" applyFont="1" applyFill="1" applyBorder="1" applyAlignment="1">
      <alignment horizontal="center" vertical="center"/>
    </xf>
    <xf numFmtId="0" fontId="1" fillId="0" borderId="0" xfId="0" applyFont="1" applyFill="1"/>
    <xf numFmtId="0" fontId="1" fillId="0" borderId="0" xfId="0" applyFont="1" applyFill="1" applyAlignment="1">
      <alignment horizont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/>
    </xf>
    <xf numFmtId="14" fontId="5" fillId="0" borderId="0" xfId="0" applyNumberFormat="1" applyFont="1" applyBorder="1" applyAlignment="1">
      <alignment horizontal="left" vertical="center" wrapText="1"/>
    </xf>
    <xf numFmtId="0" fontId="13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 wrapText="1"/>
    </xf>
    <xf numFmtId="0" fontId="12" fillId="0" borderId="0" xfId="0" applyFont="1" applyAlignment="1">
      <alignment horizontal="center" wrapText="1"/>
    </xf>
    <xf numFmtId="0" fontId="11" fillId="0" borderId="0" xfId="0" applyFont="1" applyFill="1" applyAlignment="1">
      <alignment vertical="center" wrapText="1"/>
    </xf>
    <xf numFmtId="0" fontId="11" fillId="0" borderId="0" xfId="0" applyFont="1" applyFill="1"/>
    <xf numFmtId="0" fontId="11" fillId="0" borderId="0" xfId="0" applyFont="1" applyAlignment="1">
      <alignment wrapText="1"/>
    </xf>
    <xf numFmtId="0" fontId="11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wrapText="1"/>
    </xf>
    <xf numFmtId="0" fontId="11" fillId="0" borderId="0" xfId="0" applyFont="1" applyAlignment="1">
      <alignment horizontal="center" wrapText="1"/>
    </xf>
    <xf numFmtId="0" fontId="16" fillId="2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vertical="center" wrapText="1"/>
    </xf>
    <xf numFmtId="165" fontId="16" fillId="0" borderId="1" xfId="1" applyNumberFormat="1" applyFont="1" applyBorder="1"/>
    <xf numFmtId="0" fontId="15" fillId="2" borderId="1" xfId="0" applyFont="1" applyFill="1" applyBorder="1" applyAlignment="1">
      <alignment horizontal="left" vertical="center" wrapText="1"/>
    </xf>
    <xf numFmtId="165" fontId="15" fillId="2" borderId="1" xfId="0" applyNumberFormat="1" applyFont="1" applyFill="1" applyBorder="1" applyAlignment="1">
      <alignment horizontal="center" wrapText="1"/>
    </xf>
    <xf numFmtId="0" fontId="4" fillId="0" borderId="0" xfId="0" applyFont="1" applyAlignment="1">
      <alignment horizontal="center" vertical="center"/>
    </xf>
    <xf numFmtId="0" fontId="1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 vertical="center" wrapText="1"/>
    </xf>
    <xf numFmtId="14" fontId="19" fillId="0" borderId="0" xfId="0" applyNumberFormat="1" applyFont="1" applyFill="1" applyBorder="1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11" fillId="0" borderId="0" xfId="0" applyFont="1" applyFill="1" applyAlignment="1">
      <alignment horizontal="center"/>
    </xf>
    <xf numFmtId="165" fontId="0" fillId="0" borderId="0" xfId="1" applyNumberFormat="1" applyFont="1" applyFill="1"/>
    <xf numFmtId="165" fontId="7" fillId="0" borderId="1" xfId="1" applyNumberFormat="1" applyFont="1" applyFill="1" applyBorder="1" applyAlignment="1">
      <alignment horizontal="center" vertical="center"/>
    </xf>
    <xf numFmtId="165" fontId="6" fillId="0" borderId="0" xfId="1" applyNumberFormat="1" applyFont="1" applyFill="1" applyBorder="1" applyAlignment="1">
      <alignment horizontal="center" vertical="center"/>
    </xf>
    <xf numFmtId="165" fontId="11" fillId="0" borderId="0" xfId="1" applyNumberFormat="1" applyFont="1" applyFill="1"/>
    <xf numFmtId="0" fontId="16" fillId="0" borderId="0" xfId="0" applyFont="1" applyAlignment="1">
      <alignment horizontal="center" wrapText="1"/>
    </xf>
    <xf numFmtId="165" fontId="16" fillId="0" borderId="1" xfId="1" applyNumberFormat="1" applyFont="1" applyBorder="1" applyAlignment="1">
      <alignment horizontal="center" wrapText="1"/>
    </xf>
    <xf numFmtId="165" fontId="16" fillId="0" borderId="1" xfId="1" applyNumberFormat="1" applyFont="1" applyBorder="1" applyAlignment="1">
      <alignment horizontal="right"/>
    </xf>
    <xf numFmtId="0" fontId="4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 wrapText="1"/>
    </xf>
    <xf numFmtId="165" fontId="5" fillId="0" borderId="0" xfId="1" applyNumberFormat="1" applyFont="1" applyFill="1" applyBorder="1" applyAlignment="1">
      <alignment horizontal="center" vertical="center"/>
    </xf>
    <xf numFmtId="14" fontId="5" fillId="0" borderId="0" xfId="0" applyNumberFormat="1" applyFont="1" applyFill="1" applyBorder="1" applyAlignment="1">
      <alignment horizontal="center" vertical="center" wrapText="1"/>
    </xf>
    <xf numFmtId="0" fontId="19" fillId="0" borderId="1" xfId="0" quotePrefix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wrapText="1"/>
    </xf>
    <xf numFmtId="14" fontId="19" fillId="0" borderId="1" xfId="0" quotePrefix="1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wrapText="1"/>
    </xf>
    <xf numFmtId="0" fontId="2" fillId="3" borderId="9" xfId="0" applyFont="1" applyFill="1" applyBorder="1" applyAlignment="1">
      <alignment horizontal="center" wrapText="1"/>
    </xf>
    <xf numFmtId="0" fontId="19" fillId="0" borderId="2" xfId="0" applyFont="1" applyBorder="1" applyAlignment="1">
      <alignment horizontal="center" vertical="center"/>
    </xf>
    <xf numFmtId="0" fontId="20" fillId="0" borderId="1" xfId="0" applyFont="1" applyFill="1" applyBorder="1" applyAlignment="1">
      <alignment vertical="center" wrapText="1"/>
    </xf>
    <xf numFmtId="0" fontId="20" fillId="0" borderId="1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/>
    </xf>
    <xf numFmtId="165" fontId="20" fillId="0" borderId="1" xfId="1" applyNumberFormat="1" applyFont="1" applyFill="1" applyBorder="1" applyAlignment="1">
      <alignment horizontal="center" vertical="center"/>
    </xf>
    <xf numFmtId="14" fontId="7" fillId="0" borderId="1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/>
    <xf numFmtId="0" fontId="7" fillId="0" borderId="1" xfId="0" applyFont="1" applyFill="1" applyBorder="1" applyAlignment="1">
      <alignment vertical="center" wrapText="1"/>
    </xf>
    <xf numFmtId="0" fontId="20" fillId="0" borderId="11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horizontal="center" vertical="center" wrapText="1"/>
    </xf>
    <xf numFmtId="14" fontId="7" fillId="0" borderId="7" xfId="0" applyNumberFormat="1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5" xfId="0" applyFont="1" applyFill="1" applyBorder="1" applyAlignment="1">
      <alignment vertical="center" wrapText="1"/>
    </xf>
    <xf numFmtId="0" fontId="20" fillId="0" borderId="5" xfId="0" applyFont="1" applyFill="1" applyBorder="1" applyAlignment="1">
      <alignment horizontal="center" vertical="center" wrapText="1"/>
    </xf>
    <xf numFmtId="0" fontId="20" fillId="0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165" fontId="7" fillId="0" borderId="5" xfId="1" applyNumberFormat="1" applyFont="1" applyFill="1" applyBorder="1" applyAlignment="1">
      <alignment horizontal="center" vertical="center"/>
    </xf>
    <xf numFmtId="14" fontId="7" fillId="0" borderId="5" xfId="0" applyNumberFormat="1" applyFont="1" applyFill="1" applyBorder="1" applyAlignment="1">
      <alignment horizontal="center" vertical="center" wrapText="1"/>
    </xf>
    <xf numFmtId="0" fontId="7" fillId="0" borderId="6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10" fillId="0" borderId="14" xfId="0" applyFont="1" applyFill="1" applyBorder="1" applyAlignment="1">
      <alignment horizontal="center" wrapText="1"/>
    </xf>
    <xf numFmtId="0" fontId="3" fillId="0" borderId="0" xfId="0" applyFont="1" applyFill="1" applyAlignment="1">
      <alignment horizontal="center" wrapText="1"/>
    </xf>
    <xf numFmtId="0" fontId="23" fillId="4" borderId="1" xfId="0" applyFont="1" applyFill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center" wrapText="1"/>
    </xf>
    <xf numFmtId="165" fontId="4" fillId="0" borderId="0" xfId="1" applyNumberFormat="1" applyFont="1" applyFill="1" applyBorder="1" applyAlignment="1">
      <alignment horizontal="center" vertical="center"/>
    </xf>
    <xf numFmtId="165" fontId="24" fillId="0" borderId="0" xfId="1" applyNumberFormat="1" applyFont="1" applyFill="1" applyBorder="1" applyAlignment="1">
      <alignment horizontal="center" vertical="center"/>
    </xf>
    <xf numFmtId="1" fontId="24" fillId="0" borderId="0" xfId="2" applyNumberFormat="1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wrapText="1"/>
    </xf>
    <xf numFmtId="0" fontId="25" fillId="3" borderId="8" xfId="0" applyFont="1" applyFill="1" applyBorder="1" applyAlignment="1">
      <alignment horizontal="center" wrapText="1"/>
    </xf>
    <xf numFmtId="165" fontId="25" fillId="3" borderId="8" xfId="1" applyNumberFormat="1" applyFont="1" applyFill="1" applyBorder="1" applyAlignment="1">
      <alignment horizontal="center" wrapText="1"/>
    </xf>
    <xf numFmtId="0" fontId="26" fillId="3" borderId="8" xfId="0" applyFont="1" applyFill="1" applyBorder="1" applyAlignment="1">
      <alignment horizontal="center" wrapText="1"/>
    </xf>
    <xf numFmtId="0" fontId="27" fillId="0" borderId="0" xfId="0" applyFont="1" applyAlignment="1">
      <alignment horizontal="center" wrapText="1"/>
    </xf>
    <xf numFmtId="0" fontId="19" fillId="0" borderId="0" xfId="0" applyFont="1" applyBorder="1" applyAlignment="1">
      <alignment horizontal="center" vertical="center"/>
    </xf>
    <xf numFmtId="0" fontId="20" fillId="0" borderId="0" xfId="0" applyFont="1" applyFill="1" applyBorder="1" applyAlignment="1">
      <alignment vertical="center" wrapText="1"/>
    </xf>
    <xf numFmtId="0" fontId="20" fillId="0" borderId="0" xfId="0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/>
    </xf>
    <xf numFmtId="165" fontId="7" fillId="0" borderId="0" xfId="1" applyNumberFormat="1" applyFont="1" applyFill="1" applyBorder="1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left" vertical="center" wrapText="1"/>
    </xf>
    <xf numFmtId="0" fontId="10" fillId="0" borderId="13" xfId="0" applyFont="1" applyFill="1" applyBorder="1" applyAlignment="1">
      <alignment horizontal="center" wrapText="1"/>
    </xf>
    <xf numFmtId="0" fontId="19" fillId="4" borderId="14" xfId="0" applyFont="1" applyFill="1" applyBorder="1" applyAlignment="1">
      <alignment horizontal="center" wrapText="1"/>
    </xf>
    <xf numFmtId="165" fontId="10" fillId="0" borderId="14" xfId="1" applyNumberFormat="1" applyFont="1" applyFill="1" applyBorder="1" applyAlignment="1">
      <alignment horizontal="center" wrapText="1"/>
    </xf>
    <xf numFmtId="0" fontId="10" fillId="0" borderId="15" xfId="0" applyFont="1" applyFill="1" applyBorder="1" applyAlignment="1">
      <alignment horizontal="center" wrapText="1"/>
    </xf>
    <xf numFmtId="164" fontId="8" fillId="0" borderId="0" xfId="0" applyNumberFormat="1" applyFont="1" applyAlignment="1">
      <alignment vertical="center" wrapText="1"/>
    </xf>
    <xf numFmtId="0" fontId="8" fillId="0" borderId="0" xfId="0" applyFont="1" applyAlignment="1">
      <alignment wrapText="1"/>
    </xf>
    <xf numFmtId="0" fontId="28" fillId="3" borderId="8" xfId="0" applyFont="1" applyFill="1" applyBorder="1" applyAlignment="1">
      <alignment horizontal="center" wrapText="1"/>
    </xf>
    <xf numFmtId="0" fontId="30" fillId="0" borderId="14" xfId="0" applyFont="1" applyFill="1" applyBorder="1" applyAlignment="1">
      <alignment horizontal="center" wrapText="1"/>
    </xf>
    <xf numFmtId="0" fontId="31" fillId="0" borderId="14" xfId="0" applyFont="1" applyFill="1" applyBorder="1" applyAlignment="1">
      <alignment horizontal="center" wrapText="1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31" fillId="0" borderId="1" xfId="0" quotePrefix="1" applyNumberFormat="1" applyFont="1" applyFill="1" applyBorder="1" applyAlignment="1">
      <alignment horizontal="center" vertical="center"/>
    </xf>
    <xf numFmtId="0" fontId="31" fillId="0" borderId="1" xfId="0" quotePrefix="1" applyFont="1" applyFill="1" applyBorder="1" applyAlignment="1">
      <alignment horizontal="center" vertical="center"/>
    </xf>
    <xf numFmtId="14" fontId="31" fillId="0" borderId="5" xfId="0" applyNumberFormat="1" applyFont="1" applyFill="1" applyBorder="1" applyAlignment="1">
      <alignment horizontal="center" vertical="center" wrapText="1"/>
    </xf>
    <xf numFmtId="0" fontId="31" fillId="0" borderId="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wrapText="1"/>
    </xf>
    <xf numFmtId="0" fontId="10" fillId="0" borderId="17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28" fillId="3" borderId="4" xfId="0" applyFont="1" applyFill="1" applyBorder="1" applyAlignment="1">
      <alignment horizontal="center" wrapText="1"/>
    </xf>
    <xf numFmtId="0" fontId="28" fillId="3" borderId="9" xfId="0" applyFont="1" applyFill="1" applyBorder="1" applyAlignment="1">
      <alignment horizontal="center" wrapText="1"/>
    </xf>
    <xf numFmtId="0" fontId="29" fillId="4" borderId="13" xfId="0" applyFont="1" applyFill="1" applyBorder="1" applyAlignment="1">
      <alignment horizontal="center" wrapText="1"/>
    </xf>
    <xf numFmtId="0" fontId="29" fillId="0" borderId="15" xfId="0" applyFont="1" applyFill="1" applyBorder="1" applyAlignment="1">
      <alignment horizontal="center" wrapText="1"/>
    </xf>
    <xf numFmtId="0" fontId="31" fillId="0" borderId="13" xfId="0" applyFont="1" applyFill="1" applyBorder="1" applyAlignment="1">
      <alignment horizontal="left"/>
    </xf>
    <xf numFmtId="0" fontId="32" fillId="0" borderId="2" xfId="0" applyFont="1" applyFill="1" applyBorder="1" applyAlignment="1">
      <alignment vertical="center" wrapText="1"/>
    </xf>
    <xf numFmtId="0" fontId="29" fillId="0" borderId="3" xfId="0" applyFont="1" applyFill="1" applyBorder="1" applyAlignment="1">
      <alignment horizontal="center" vertical="center" wrapText="1"/>
    </xf>
    <xf numFmtId="0" fontId="29" fillId="0" borderId="3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 wrapText="1"/>
    </xf>
    <xf numFmtId="0" fontId="33" fillId="4" borderId="2" xfId="0" applyFont="1" applyFill="1" applyBorder="1" applyAlignment="1">
      <alignment horizontal="center" vertical="center" wrapText="1"/>
    </xf>
    <xf numFmtId="0" fontId="29" fillId="4" borderId="2" xfId="0" applyFont="1" applyFill="1" applyBorder="1" applyAlignment="1">
      <alignment horizontal="center" vertical="center" wrapText="1"/>
    </xf>
    <xf numFmtId="0" fontId="32" fillId="0" borderId="2" xfId="0" applyFont="1" applyFill="1" applyBorder="1" applyAlignment="1">
      <alignment horizontal="left" vertical="center" wrapText="1"/>
    </xf>
    <xf numFmtId="0" fontId="29" fillId="0" borderId="6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2" fillId="0" borderId="20" xfId="0" applyFont="1" applyFill="1" applyBorder="1" applyAlignment="1">
      <alignment vertical="center" wrapText="1"/>
    </xf>
    <xf numFmtId="0" fontId="31" fillId="0" borderId="7" xfId="0" applyFont="1" applyFill="1" applyBorder="1" applyAlignment="1">
      <alignment horizontal="center" vertical="center"/>
    </xf>
    <xf numFmtId="14" fontId="31" fillId="0" borderId="7" xfId="0" quotePrefix="1" applyNumberFormat="1" applyFont="1" applyFill="1" applyBorder="1" applyAlignment="1">
      <alignment horizontal="center" vertical="center"/>
    </xf>
    <xf numFmtId="0" fontId="29" fillId="0" borderId="21" xfId="0" applyFont="1" applyFill="1" applyBorder="1" applyAlignment="1">
      <alignment horizontal="center" vertical="center" wrapText="1"/>
    </xf>
    <xf numFmtId="0" fontId="7" fillId="0" borderId="22" xfId="0" applyFont="1" applyFill="1" applyBorder="1" applyAlignment="1">
      <alignment horizontal="center" vertical="center"/>
    </xf>
    <xf numFmtId="0" fontId="29" fillId="4" borderId="10" xfId="0" applyFont="1" applyFill="1" applyBorder="1" applyAlignment="1">
      <alignment horizontal="center" vertical="center" wrapText="1"/>
    </xf>
    <xf numFmtId="0" fontId="36" fillId="0" borderId="14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165" fontId="2" fillId="3" borderId="8" xfId="1" applyNumberFormat="1" applyFont="1" applyFill="1" applyBorder="1" applyAlignment="1">
      <alignment horizontal="center" wrapText="1"/>
    </xf>
    <xf numFmtId="0" fontId="10" fillId="3" borderId="8" xfId="0" applyFont="1" applyFill="1" applyBorder="1" applyAlignment="1">
      <alignment horizontal="center" wrapText="1"/>
    </xf>
    <xf numFmtId="0" fontId="10" fillId="0" borderId="14" xfId="0" applyFont="1" applyFill="1" applyBorder="1" applyAlignment="1">
      <alignment horizontal="center" wrapText="1"/>
    </xf>
    <xf numFmtId="166" fontId="10" fillId="0" borderId="14" xfId="0" applyNumberFormat="1" applyFont="1" applyFill="1" applyBorder="1" applyAlignment="1">
      <alignment horizontal="center" wrapText="1"/>
    </xf>
    <xf numFmtId="0" fontId="10" fillId="0" borderId="14" xfId="0" applyNumberFormat="1" applyFont="1" applyFill="1" applyBorder="1" applyAlignment="1">
      <alignment horizontal="center" wrapText="1"/>
    </xf>
    <xf numFmtId="0" fontId="7" fillId="0" borderId="14" xfId="0" applyFont="1" applyFill="1" applyBorder="1" applyAlignment="1">
      <alignment horizontal="center" vertical="center"/>
    </xf>
    <xf numFmtId="165" fontId="20" fillId="0" borderId="1" xfId="1" applyNumberFormat="1" applyFont="1" applyFill="1" applyBorder="1" applyAlignment="1">
      <alignment horizontal="center" vertical="center" wrapText="1"/>
    </xf>
    <xf numFmtId="165" fontId="20" fillId="0" borderId="7" xfId="1" applyNumberFormat="1" applyFont="1" applyFill="1" applyBorder="1" applyAlignment="1">
      <alignment horizontal="center" vertical="center" wrapText="1"/>
    </xf>
    <xf numFmtId="165" fontId="7" fillId="0" borderId="14" xfId="1" applyNumberFormat="1" applyFont="1" applyFill="1" applyBorder="1" applyAlignment="1">
      <alignment horizontal="center" vertical="center"/>
    </xf>
    <xf numFmtId="165" fontId="20" fillId="0" borderId="5" xfId="1" applyNumberFormat="1" applyFont="1" applyFill="1" applyBorder="1" applyAlignment="1">
      <alignment horizontal="center" vertical="center"/>
    </xf>
    <xf numFmtId="165" fontId="20" fillId="0" borderId="0" xfId="1" applyNumberFormat="1" applyFont="1" applyFill="1" applyBorder="1" applyAlignment="1">
      <alignment horizontal="center" vertical="center"/>
    </xf>
    <xf numFmtId="165" fontId="17" fillId="2" borderId="1" xfId="1" applyNumberFormat="1" applyFont="1" applyFill="1" applyBorder="1" applyAlignment="1">
      <alignment horizontal="center" vertical="center" wrapText="1"/>
    </xf>
    <xf numFmtId="165" fontId="15" fillId="2" borderId="1" xfId="1" applyNumberFormat="1" applyFont="1" applyFill="1" applyBorder="1" applyAlignment="1">
      <alignment horizontal="center" wrapText="1"/>
    </xf>
    <xf numFmtId="165" fontId="11" fillId="0" borderId="0" xfId="1" applyNumberFormat="1" applyFont="1" applyAlignment="1">
      <alignment horizontal="center" wrapText="1"/>
    </xf>
    <xf numFmtId="165" fontId="0" fillId="0" borderId="0" xfId="1" applyNumberFormat="1" applyFont="1" applyAlignment="1">
      <alignment horizontal="center" wrapText="1"/>
    </xf>
    <xf numFmtId="0" fontId="7" fillId="0" borderId="7" xfId="0" applyFont="1" applyFill="1" applyBorder="1" applyAlignment="1">
      <alignment horizontal="center" vertical="center"/>
    </xf>
    <xf numFmtId="165" fontId="7" fillId="0" borderId="7" xfId="1" applyNumberFormat="1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 vertical="center"/>
    </xf>
    <xf numFmtId="14" fontId="19" fillId="0" borderId="7" xfId="0" quotePrefix="1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7" fillId="0" borderId="14" xfId="0" applyFont="1" applyFill="1" applyBorder="1" applyAlignment="1">
      <alignment horizontal="center" wrapText="1"/>
    </xf>
    <xf numFmtId="167" fontId="0" fillId="0" borderId="0" xfId="0" applyNumberFormat="1" applyFont="1"/>
    <xf numFmtId="167" fontId="27" fillId="0" borderId="0" xfId="0" applyNumberFormat="1" applyFont="1" applyAlignment="1">
      <alignment horizontal="center" wrapText="1"/>
    </xf>
    <xf numFmtId="167" fontId="3" fillId="0" borderId="0" xfId="0" applyNumberFormat="1" applyFont="1" applyAlignment="1">
      <alignment horizontal="center" wrapText="1"/>
    </xf>
    <xf numFmtId="167" fontId="3" fillId="0" borderId="0" xfId="0" applyNumberFormat="1" applyFont="1" applyFill="1" applyAlignment="1">
      <alignment horizont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/>
    </xf>
    <xf numFmtId="0" fontId="18" fillId="0" borderId="7" xfId="0" applyFont="1" applyFill="1" applyBorder="1" applyAlignment="1">
      <alignment horizontal="center" wrapText="1"/>
    </xf>
    <xf numFmtId="0" fontId="19" fillId="0" borderId="2" xfId="0" applyFont="1" applyFill="1" applyBorder="1" applyAlignment="1">
      <alignment horizontal="center" vertical="center"/>
    </xf>
    <xf numFmtId="167" fontId="0" fillId="5" borderId="0" xfId="0" applyNumberFormat="1" applyFont="1" applyFill="1"/>
    <xf numFmtId="0" fontId="7" fillId="0" borderId="1" xfId="0" applyFont="1" applyFill="1" applyBorder="1" applyAlignment="1">
      <alignment horizontal="left" vertical="center" wrapText="1"/>
    </xf>
    <xf numFmtId="165" fontId="19" fillId="0" borderId="0" xfId="1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wrapText="1"/>
    </xf>
    <xf numFmtId="0" fontId="7" fillId="0" borderId="14" xfId="0" applyFont="1" applyFill="1" applyBorder="1" applyAlignment="1">
      <alignment horizontal="center" wrapText="1"/>
    </xf>
    <xf numFmtId="0" fontId="19" fillId="0" borderId="14" xfId="0" applyFont="1" applyFill="1" applyBorder="1" applyAlignment="1">
      <alignment horizontal="center" wrapText="1"/>
    </xf>
    <xf numFmtId="0" fontId="37" fillId="0" borderId="1" xfId="0" applyFont="1" applyFill="1" applyBorder="1" applyAlignment="1">
      <alignment horizontal="center" wrapText="1"/>
    </xf>
    <xf numFmtId="14" fontId="7" fillId="0" borderId="1" xfId="0" applyNumberFormat="1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7" fillId="0" borderId="3" xfId="0" applyFont="1" applyFill="1" applyBorder="1" applyAlignment="1">
      <alignment horizontal="left" vertical="center"/>
    </xf>
    <xf numFmtId="168" fontId="7" fillId="0" borderId="1" xfId="0" applyNumberFormat="1" applyFont="1" applyFill="1" applyBorder="1" applyAlignment="1">
      <alignment horizontal="center" wrapText="1"/>
    </xf>
    <xf numFmtId="168" fontId="20" fillId="0" borderId="1" xfId="0" applyNumberFormat="1" applyFont="1" applyFill="1" applyBorder="1" applyAlignment="1">
      <alignment horizontal="center" wrapText="1"/>
    </xf>
    <xf numFmtId="168" fontId="20" fillId="0" borderId="7" xfId="0" applyNumberFormat="1" applyFont="1" applyFill="1" applyBorder="1" applyAlignment="1">
      <alignment horizontal="center" wrapText="1"/>
    </xf>
    <xf numFmtId="168" fontId="20" fillId="0" borderId="14" xfId="0" applyNumberFormat="1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2" fillId="3" borderId="9" xfId="0" applyFont="1" applyFill="1" applyBorder="1" applyAlignment="1">
      <alignment horizontal="left" wrapText="1"/>
    </xf>
    <xf numFmtId="0" fontId="10" fillId="0" borderId="15" xfId="0" applyFont="1" applyFill="1" applyBorder="1" applyAlignment="1">
      <alignment horizontal="left" wrapText="1"/>
    </xf>
    <xf numFmtId="0" fontId="0" fillId="0" borderId="0" xfId="0" applyFont="1" applyAlignment="1">
      <alignment horizontal="left"/>
    </xf>
    <xf numFmtId="0" fontId="7" fillId="0" borderId="21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0" fillId="0" borderId="0" xfId="0" applyFont="1" applyAlignment="1">
      <alignment horizontal="left" wrapText="1"/>
    </xf>
    <xf numFmtId="0" fontId="11" fillId="0" borderId="0" xfId="0" applyFont="1" applyFill="1" applyBorder="1" applyAlignment="1">
      <alignment horizontal="left" wrapText="1"/>
    </xf>
    <xf numFmtId="0" fontId="14" fillId="0" borderId="0" xfId="0" applyFont="1" applyFill="1" applyBorder="1" applyAlignment="1">
      <alignment horizontal="left" wrapText="1"/>
    </xf>
    <xf numFmtId="0" fontId="11" fillId="0" borderId="0" xfId="0" applyFont="1" applyAlignment="1">
      <alignment horizontal="left" wrapText="1"/>
    </xf>
    <xf numFmtId="168" fontId="19" fillId="0" borderId="14" xfId="0" applyNumberFormat="1" applyFont="1" applyFill="1" applyBorder="1" applyAlignment="1">
      <alignment horizontal="center" wrapText="1"/>
    </xf>
    <xf numFmtId="168" fontId="23" fillId="0" borderId="14" xfId="0" applyNumberFormat="1" applyFont="1" applyFill="1" applyBorder="1" applyAlignment="1">
      <alignment horizontal="center" wrapText="1"/>
    </xf>
    <xf numFmtId="0" fontId="7" fillId="0" borderId="7" xfId="0" applyFont="1" applyFill="1" applyBorder="1" applyAlignment="1">
      <alignment horizontal="center" vertical="center" wrapText="1"/>
    </xf>
    <xf numFmtId="168" fontId="7" fillId="0" borderId="14" xfId="0" applyNumberFormat="1" applyFont="1" applyFill="1" applyBorder="1" applyAlignment="1">
      <alignment horizontal="center" wrapText="1"/>
    </xf>
    <xf numFmtId="0" fontId="7" fillId="0" borderId="14" xfId="0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wrapText="1"/>
    </xf>
    <xf numFmtId="0" fontId="40" fillId="0" borderId="14" xfId="0" applyFont="1" applyFill="1" applyBorder="1" applyAlignment="1">
      <alignment horizontal="center" wrapText="1"/>
    </xf>
    <xf numFmtId="0" fontId="40" fillId="0" borderId="1" xfId="0" applyFont="1" applyFill="1" applyBorder="1" applyAlignment="1">
      <alignment horizontal="center" wrapText="1"/>
    </xf>
    <xf numFmtId="0" fontId="41" fillId="0" borderId="1" xfId="0" applyFont="1" applyFill="1" applyBorder="1" applyAlignment="1">
      <alignment horizontal="center" wrapText="1"/>
    </xf>
    <xf numFmtId="0" fontId="41" fillId="0" borderId="7" xfId="0" applyFont="1" applyFill="1" applyBorder="1" applyAlignment="1">
      <alignment horizontal="center" wrapText="1"/>
    </xf>
    <xf numFmtId="0" fontId="19" fillId="0" borderId="1" xfId="0" applyFont="1" applyFill="1" applyBorder="1" applyAlignment="1">
      <alignment horizontal="center" wrapText="1"/>
    </xf>
    <xf numFmtId="0" fontId="19" fillId="0" borderId="0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168" fontId="20" fillId="0" borderId="14" xfId="0" applyNumberFormat="1" applyFont="1" applyFill="1" applyBorder="1" applyAlignment="1">
      <alignment horizontal="center" shrinkToFit="1"/>
    </xf>
    <xf numFmtId="0" fontId="4" fillId="0" borderId="0" xfId="0" applyFont="1" applyAlignment="1">
      <alignment horizontal="center" vertical="center"/>
    </xf>
    <xf numFmtId="0" fontId="25" fillId="3" borderId="23" xfId="0" applyFont="1" applyFill="1" applyBorder="1" applyAlignment="1">
      <alignment horizontal="center" wrapText="1"/>
    </xf>
    <xf numFmtId="0" fontId="10" fillId="0" borderId="24" xfId="0" applyFont="1" applyFill="1" applyBorder="1" applyAlignment="1">
      <alignment horizontal="center" wrapText="1"/>
    </xf>
    <xf numFmtId="0" fontId="19" fillId="0" borderId="1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68" fontId="8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wrapText="1"/>
    </xf>
    <xf numFmtId="164" fontId="8" fillId="0" borderId="0" xfId="0" applyNumberFormat="1" applyFont="1" applyAlignment="1">
      <alignment horizontal="center" vertical="center" wrapText="1"/>
    </xf>
    <xf numFmtId="0" fontId="21" fillId="0" borderId="0" xfId="0" applyFont="1" applyBorder="1" applyAlignment="1">
      <alignment horizontal="center" wrapText="1"/>
    </xf>
    <xf numFmtId="0" fontId="28" fillId="0" borderId="0" xfId="0" applyFont="1" applyFill="1" applyAlignment="1">
      <alignment horizontal="left" vertical="center"/>
    </xf>
    <xf numFmtId="0" fontId="34" fillId="0" borderId="12" xfId="0" applyFont="1" applyBorder="1" applyAlignment="1">
      <alignment horizontal="center"/>
    </xf>
    <xf numFmtId="0" fontId="35" fillId="0" borderId="0" xfId="0" applyFont="1" applyAlignment="1">
      <alignment horizontal="center" wrapText="1"/>
    </xf>
    <xf numFmtId="164" fontId="35" fillId="0" borderId="0" xfId="0" applyNumberFormat="1" applyFont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320336</xdr:colOff>
      <xdr:row>0</xdr:row>
      <xdr:rowOff>55563</xdr:rowOff>
    </xdr:from>
    <xdr:to>
      <xdr:col>2</xdr:col>
      <xdr:colOff>356780</xdr:colOff>
      <xdr:row>4</xdr:row>
      <xdr:rowOff>254000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336" y="55563"/>
          <a:ext cx="2223755" cy="151606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11906</xdr:rowOff>
    </xdr:from>
    <xdr:to>
      <xdr:col>0</xdr:col>
      <xdr:colOff>2000251</xdr:colOff>
      <xdr:row>4</xdr:row>
      <xdr:rowOff>57871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1906"/>
          <a:ext cx="2000250" cy="134374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113961</xdr:colOff>
      <xdr:row>0</xdr:row>
      <xdr:rowOff>71438</xdr:rowOff>
    </xdr:from>
    <xdr:to>
      <xdr:col>1</xdr:col>
      <xdr:colOff>1272223</xdr:colOff>
      <xdr:row>4</xdr:row>
      <xdr:rowOff>271629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961" y="71438"/>
          <a:ext cx="2225062" cy="149559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R281"/>
  <sheetViews>
    <sheetView zoomScale="56" zoomScaleNormal="56" workbookViewId="0">
      <pane xSplit="5" ySplit="7" topLeftCell="F8" activePane="bottomRight" state="frozen"/>
      <selection pane="topRight" activeCell="D1" sqref="D1"/>
      <selection pane="bottomLeft" activeCell="A9" sqref="A9"/>
      <selection pane="bottomRight" activeCell="J8" sqref="J8"/>
    </sheetView>
  </sheetViews>
  <sheetFormatPr defaultColWidth="9.109375" defaultRowHeight="21" x14ac:dyDescent="0.3"/>
  <cols>
    <col min="1" max="1" width="15.6640625" style="33" customWidth="1"/>
    <col min="2" max="2" width="15.6640625" style="223" customWidth="1"/>
    <col min="3" max="3" width="67.5546875" style="19" customWidth="1"/>
    <col min="4" max="4" width="26.109375" style="195" customWidth="1"/>
    <col min="5" max="7" width="11.88671875" style="2" customWidth="1"/>
    <col min="8" max="9" width="15.6640625" style="26" customWidth="1"/>
    <col min="10" max="10" width="17.33203125" style="2" bestFit="1" customWidth="1"/>
    <col min="11" max="11" width="23.6640625" style="5" customWidth="1"/>
    <col min="12" max="12" width="21.44140625" style="42" customWidth="1"/>
    <col min="13" max="13" width="26.109375" style="5" customWidth="1"/>
    <col min="14" max="14" width="20.6640625" style="6" customWidth="1"/>
    <col min="15" max="15" width="20.88671875" style="2" customWidth="1"/>
    <col min="16" max="16" width="20.88671875" style="34" customWidth="1"/>
    <col min="17" max="17" width="27.109375" style="3" customWidth="1"/>
    <col min="18" max="18" width="21.109375" style="41" customWidth="1"/>
    <col min="19" max="21" width="21.109375" style="34" customWidth="1"/>
    <col min="22" max="22" width="42.5546875" style="202" customWidth="1"/>
    <col min="23" max="23" width="10.5546875" style="170" customWidth="1"/>
    <col min="24" max="24" width="9.6640625" style="170" customWidth="1"/>
    <col min="25" max="25" width="34.5546875" style="4" customWidth="1"/>
    <col min="26" max="32" width="9.109375" style="4" hidden="1" customWidth="1"/>
    <col min="33" max="33" width="9.109375" style="4" customWidth="1"/>
    <col min="34" max="37" width="9.109375" style="4" hidden="1" customWidth="1"/>
    <col min="38" max="39" width="9.109375" style="4" customWidth="1"/>
    <col min="40" max="41" width="9.109375" style="4"/>
    <col min="42" max="44" width="9.109375" style="4" customWidth="1"/>
    <col min="45" max="16384" width="9.109375" style="4"/>
  </cols>
  <sheetData>
    <row r="1" spans="1:44" x14ac:dyDescent="0.3">
      <c r="A1" s="229"/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</row>
    <row r="2" spans="1:44" ht="27" customHeight="1" x14ac:dyDescent="0.4">
      <c r="A2" s="232" t="s">
        <v>106</v>
      </c>
      <c r="B2" s="232"/>
      <c r="C2" s="232"/>
      <c r="D2" s="232"/>
      <c r="E2" s="232"/>
      <c r="F2" s="232"/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2"/>
      <c r="R2" s="232"/>
      <c r="S2" s="232"/>
      <c r="T2" s="232"/>
      <c r="U2" s="232"/>
      <c r="V2" s="232"/>
    </row>
    <row r="3" spans="1:44" ht="27" customHeight="1" x14ac:dyDescent="0.4">
      <c r="A3" s="231" t="str">
        <f>C174</f>
        <v>LifeShare Management Group</v>
      </c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2"/>
      <c r="U3" s="232"/>
      <c r="V3" s="232"/>
    </row>
    <row r="4" spans="1:44" ht="27" customHeight="1" x14ac:dyDescent="0.3">
      <c r="A4" s="233">
        <f ca="1">TODAY()</f>
        <v>42599</v>
      </c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233"/>
      <c r="Q4" s="233"/>
      <c r="R4" s="233"/>
      <c r="S4" s="233"/>
      <c r="T4" s="233"/>
      <c r="U4" s="233"/>
      <c r="V4" s="233"/>
    </row>
    <row r="5" spans="1:44" ht="21.75" customHeight="1" thickBot="1" x14ac:dyDescent="0.45">
      <c r="A5" s="234" t="s">
        <v>119</v>
      </c>
      <c r="B5" s="234"/>
      <c r="C5" s="234"/>
      <c r="D5" s="234"/>
      <c r="E5" s="234"/>
      <c r="F5" s="234"/>
      <c r="G5" s="234"/>
      <c r="H5" s="234"/>
      <c r="I5" s="234"/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</row>
    <row r="6" spans="1:44" ht="21.75" hidden="1" customHeight="1" thickBot="1" x14ac:dyDescent="0.35">
      <c r="A6" s="230" t="s">
        <v>156</v>
      </c>
      <c r="B6" s="230"/>
      <c r="C6" s="230"/>
      <c r="D6" s="230"/>
      <c r="E6" s="230"/>
      <c r="F6" s="230"/>
      <c r="G6" s="230"/>
      <c r="H6" s="230"/>
      <c r="I6" s="230"/>
      <c r="J6" s="230"/>
      <c r="K6" s="230"/>
      <c r="L6" s="230"/>
      <c r="M6" s="230"/>
      <c r="N6" s="230"/>
      <c r="O6" s="230"/>
      <c r="P6" s="230"/>
      <c r="Q6" s="230"/>
      <c r="R6" s="230"/>
      <c r="S6" s="230"/>
      <c r="T6" s="230"/>
      <c r="U6" s="230"/>
      <c r="V6" s="230"/>
    </row>
    <row r="7" spans="1:44" s="96" customFormat="1" ht="79.2" x14ac:dyDescent="0.4">
      <c r="A7" s="92" t="str">
        <f>CONCATENATE(A259,"  Active Projects")</f>
        <v>85  Active Projects</v>
      </c>
      <c r="B7" s="224" t="s">
        <v>613</v>
      </c>
      <c r="C7" s="93" t="s">
        <v>14</v>
      </c>
      <c r="D7" s="95" t="s">
        <v>292</v>
      </c>
      <c r="E7" s="59" t="s">
        <v>39</v>
      </c>
      <c r="F7" s="59" t="s">
        <v>250</v>
      </c>
      <c r="G7" s="59" t="s">
        <v>251</v>
      </c>
      <c r="H7" s="149" t="s">
        <v>147</v>
      </c>
      <c r="I7" s="149" t="s">
        <v>313</v>
      </c>
      <c r="J7" s="59" t="s">
        <v>15</v>
      </c>
      <c r="K7" s="93" t="str">
        <f>CONCATENATE(K262,"%  
Licensed Beds Participating")</f>
        <v>99%  
Licensed Beds Participating</v>
      </c>
      <c r="L7" s="94" t="str">
        <f>CONCATENATE(L262,"%  
Discharges Participating")</f>
        <v>100%  
Discharges Participating</v>
      </c>
      <c r="M7" s="93" t="str">
        <f>CONCATENATE(M259+M260+M261,"   Providers Participating")</f>
        <v>2435   Providers Participating</v>
      </c>
      <c r="N7" s="93" t="str">
        <f>CONCATENATE(N260,"  New  ---
",N259+N260,"  Total
Participants")</f>
        <v>66  New  ---
184  Total
Participants</v>
      </c>
      <c r="O7" s="93" t="str">
        <f>CONCATENATE(O259,"  
Operational
Inbound
Data Feeds")</f>
        <v>24  
Operational
Inbound
Data Feeds</v>
      </c>
      <c r="P7" s="93" t="str">
        <f>CONCATENATE(P259,"  
Operational
Outbound
Data Feeds")</f>
        <v>3  
Operational
Outbound
Data Feeds</v>
      </c>
      <c r="Q7" s="93" t="str">
        <f>CONCATENATE(Q259,"  
Operational
Query/Response
Installations")</f>
        <v>3  
Operational
Query/Response
Installations</v>
      </c>
      <c r="R7" s="95" t="str">
        <f>CONCATENATE(R259,"  
Operational
Portal
Installations")</f>
        <v>24  
Operational
Portal
Installations</v>
      </c>
      <c r="S7" s="95" t="str">
        <f>CONCATENATE(S259,"  
Operational
Alerts 
Installations")</f>
        <v>17  
Operational
Alerts 
Installations</v>
      </c>
      <c r="T7" s="95" t="str">
        <f>CONCATENATE(T259,"  
Operational
Direct Email
Installations")</f>
        <v>15  
Operational
Direct Email
Installations</v>
      </c>
      <c r="U7" s="95" t="str">
        <f>CONCATENATE(U259,"  
Operational
Crisis Portal
Installations")</f>
        <v>0  
Operational
Crisis Portal
Installations</v>
      </c>
      <c r="V7" s="196" t="s">
        <v>34</v>
      </c>
      <c r="W7" s="171" t="s">
        <v>225</v>
      </c>
      <c r="X7" s="172" t="s">
        <v>226</v>
      </c>
      <c r="Y7" s="7"/>
      <c r="AB7" s="7"/>
      <c r="AD7" s="7"/>
      <c r="AE7" s="7"/>
      <c r="AF7" s="7"/>
      <c r="AG7" s="7"/>
      <c r="AH7" s="7"/>
      <c r="AI7" s="7"/>
      <c r="AJ7" s="7"/>
      <c r="AK7" s="7"/>
      <c r="AL7" s="7"/>
      <c r="AM7" s="7"/>
      <c r="AP7" s="7"/>
      <c r="AQ7" s="7"/>
      <c r="AR7" s="7"/>
    </row>
    <row r="8" spans="1:44" s="86" customFormat="1" x14ac:dyDescent="0.4">
      <c r="A8" s="106" t="s">
        <v>230</v>
      </c>
      <c r="B8" s="225"/>
      <c r="C8" s="107" t="s">
        <v>130</v>
      </c>
      <c r="D8" s="206" t="s">
        <v>134</v>
      </c>
      <c r="E8" s="169">
        <v>1</v>
      </c>
      <c r="F8" s="169"/>
      <c r="G8" s="169"/>
      <c r="H8" s="183"/>
      <c r="I8" s="183"/>
      <c r="J8" s="169" t="s">
        <v>221</v>
      </c>
      <c r="K8" s="85"/>
      <c r="L8" s="108"/>
      <c r="M8" s="85"/>
      <c r="N8" s="183" t="s">
        <v>134</v>
      </c>
      <c r="O8" s="85"/>
      <c r="P8" s="85"/>
      <c r="Q8" s="85"/>
      <c r="R8" s="85"/>
      <c r="S8" s="85"/>
      <c r="T8" s="85"/>
      <c r="U8" s="85"/>
      <c r="V8" s="197"/>
      <c r="W8" s="173"/>
      <c r="X8" s="173"/>
    </row>
    <row r="9" spans="1:44" x14ac:dyDescent="0.4">
      <c r="A9" s="177" t="str">
        <f>IF(O9="Planning","Yes",IF(O9="Underway","Yes",IF(P9="Planning","Yes",IF(P9="Underway","Yes",IF(Q9="Planning","Yes",IF(Q9="Underway","Yes",IF(R9="Planning","Yes",IF(R9="Underway","Yes",IF(S9="Planning","Yes",IF(S9="Underway","Yes",IF(T9="Planning","Yes",IF(T9="Underway","Yes",IF(U9="Planning","Yes",IF(U9="Underway","Yes","   "))))))))))))))</f>
        <v>Yes</v>
      </c>
      <c r="B9" s="226" t="s">
        <v>518</v>
      </c>
      <c r="C9" s="70" t="s">
        <v>410</v>
      </c>
      <c r="D9" s="188" t="s">
        <v>311</v>
      </c>
      <c r="E9" s="68">
        <v>1</v>
      </c>
      <c r="F9" s="68"/>
      <c r="G9" s="68"/>
      <c r="H9" s="68" t="s">
        <v>149</v>
      </c>
      <c r="I9" s="68" t="s">
        <v>322</v>
      </c>
      <c r="J9" s="63" t="s">
        <v>16</v>
      </c>
      <c r="K9" s="8">
        <v>1029</v>
      </c>
      <c r="L9" s="43">
        <v>50045</v>
      </c>
      <c r="M9" s="8"/>
      <c r="N9" s="66" t="s">
        <v>17</v>
      </c>
      <c r="O9" s="36" t="s">
        <v>107</v>
      </c>
      <c r="P9" s="58"/>
      <c r="Q9" s="58"/>
      <c r="R9" s="58"/>
      <c r="S9" s="58"/>
      <c r="T9" s="58"/>
      <c r="U9" s="58"/>
      <c r="V9" s="187" t="s">
        <v>291</v>
      </c>
      <c r="W9" s="170">
        <v>42506</v>
      </c>
      <c r="AG9" s="4" t="s">
        <v>518</v>
      </c>
    </row>
    <row r="10" spans="1:44" x14ac:dyDescent="0.4">
      <c r="A10" s="177" t="str">
        <f t="shared" ref="A10:A26" si="0">IF(O10="Planning","Yes",IF(O10="Underway","Yes",IF(P10="Planning","Yes",IF(P10="Underway","Yes",IF(Q10="Planning","Yes",IF(Q10="Underway","Yes",IF(R10="Planning","Yes",IF(R10="Underway","Yes",IF(S10="Planning","Yes",IF(S10="Underway","Yes",IF(T10="Planning","Yes",IF(T10="Underway","Yes",IF(U10="Planning","Yes",IF(U10="Underway","Yes","   "))))))))))))))</f>
        <v xml:space="preserve">   </v>
      </c>
      <c r="B10" s="226" t="s">
        <v>411</v>
      </c>
      <c r="C10" s="70" t="s">
        <v>54</v>
      </c>
      <c r="D10" s="188"/>
      <c r="E10" s="68">
        <v>1</v>
      </c>
      <c r="F10" s="68"/>
      <c r="G10" s="68"/>
      <c r="H10" s="68"/>
      <c r="I10" s="68"/>
      <c r="J10" s="63" t="s">
        <v>16</v>
      </c>
      <c r="K10" s="8"/>
      <c r="L10" s="43"/>
      <c r="M10" s="8"/>
      <c r="N10" s="66"/>
      <c r="O10" s="36"/>
      <c r="P10" s="58"/>
      <c r="Q10" s="58"/>
      <c r="R10" s="58"/>
      <c r="S10" s="58"/>
      <c r="T10" s="58"/>
      <c r="U10" s="58"/>
      <c r="V10" s="187"/>
      <c r="AG10" s="4" t="s">
        <v>411</v>
      </c>
    </row>
    <row r="11" spans="1:44" x14ac:dyDescent="0.4">
      <c r="A11" s="177" t="str">
        <f t="shared" si="0"/>
        <v xml:space="preserve">   </v>
      </c>
      <c r="B11" s="226" t="e">
        <v>#N/A</v>
      </c>
      <c r="C11" s="70" t="s">
        <v>55</v>
      </c>
      <c r="D11" s="188"/>
      <c r="E11" s="68">
        <v>1</v>
      </c>
      <c r="F11" s="68"/>
      <c r="G11" s="68"/>
      <c r="H11" s="68"/>
      <c r="I11" s="68"/>
      <c r="J11" s="63" t="s">
        <v>16</v>
      </c>
      <c r="K11" s="8"/>
      <c r="L11" s="43"/>
      <c r="M11" s="8"/>
      <c r="N11" s="66"/>
      <c r="O11" s="36"/>
      <c r="P11" s="58"/>
      <c r="Q11" s="58"/>
      <c r="R11" s="58"/>
      <c r="S11" s="58"/>
      <c r="T11" s="58"/>
      <c r="U11" s="58"/>
      <c r="V11" s="187"/>
      <c r="AG11" s="4" t="e">
        <v>#N/A</v>
      </c>
    </row>
    <row r="12" spans="1:44" x14ac:dyDescent="0.4">
      <c r="A12" s="177" t="str">
        <f t="shared" si="0"/>
        <v xml:space="preserve">   </v>
      </c>
      <c r="B12" s="226" t="s">
        <v>437</v>
      </c>
      <c r="C12" s="62" t="s">
        <v>0</v>
      </c>
      <c r="D12" s="189" t="s">
        <v>300</v>
      </c>
      <c r="E12" s="63">
        <v>1</v>
      </c>
      <c r="F12" s="63"/>
      <c r="G12" s="63"/>
      <c r="H12" s="63" t="s">
        <v>238</v>
      </c>
      <c r="I12" s="63"/>
      <c r="J12" s="63" t="s">
        <v>16</v>
      </c>
      <c r="K12" s="64">
        <v>4635</v>
      </c>
      <c r="L12" s="65">
        <v>251368</v>
      </c>
      <c r="M12" s="64"/>
      <c r="N12" s="66" t="s">
        <v>17</v>
      </c>
      <c r="O12" s="36" t="s">
        <v>120</v>
      </c>
      <c r="P12" s="36"/>
      <c r="Q12" s="36"/>
      <c r="R12" s="36" t="s">
        <v>120</v>
      </c>
      <c r="S12" s="36"/>
      <c r="T12" s="58"/>
      <c r="U12" s="58"/>
      <c r="V12" s="187"/>
      <c r="AG12" s="4" t="s">
        <v>437</v>
      </c>
    </row>
    <row r="13" spans="1:44" x14ac:dyDescent="0.4">
      <c r="A13" s="177" t="str">
        <f t="shared" si="0"/>
        <v>Yes</v>
      </c>
      <c r="B13" s="226" t="e">
        <v>#N/A</v>
      </c>
      <c r="C13" s="227" t="s">
        <v>136</v>
      </c>
      <c r="D13" s="189" t="s">
        <v>294</v>
      </c>
      <c r="E13" s="63">
        <v>1</v>
      </c>
      <c r="F13" s="63"/>
      <c r="G13" s="63"/>
      <c r="H13" s="63" t="s">
        <v>249</v>
      </c>
      <c r="I13" s="63" t="s">
        <v>322</v>
      </c>
      <c r="J13" s="63" t="s">
        <v>16</v>
      </c>
      <c r="K13" s="8" t="s">
        <v>115</v>
      </c>
      <c r="L13" s="43" t="s">
        <v>115</v>
      </c>
      <c r="M13" s="8"/>
      <c r="N13" s="66" t="s">
        <v>133</v>
      </c>
      <c r="O13" s="36" t="s">
        <v>107</v>
      </c>
      <c r="P13" s="58"/>
      <c r="Q13" s="53"/>
      <c r="R13" s="53"/>
      <c r="S13" s="53"/>
      <c r="T13" s="58"/>
      <c r="U13" s="58"/>
      <c r="V13" s="187" t="s">
        <v>291</v>
      </c>
      <c r="W13" s="178">
        <v>42476</v>
      </c>
      <c r="X13" s="170">
        <v>42537</v>
      </c>
      <c r="AG13" s="4" t="e">
        <v>#N/A</v>
      </c>
    </row>
    <row r="14" spans="1:44" x14ac:dyDescent="0.4">
      <c r="A14" s="177" t="str">
        <f t="shared" si="0"/>
        <v xml:space="preserve">   </v>
      </c>
      <c r="B14" s="226" t="e">
        <v>#N/A</v>
      </c>
      <c r="C14" s="62" t="s">
        <v>517</v>
      </c>
      <c r="D14" s="189"/>
      <c r="E14" s="63">
        <v>1</v>
      </c>
      <c r="F14" s="63"/>
      <c r="G14" s="63"/>
      <c r="H14" s="63"/>
      <c r="I14" s="63"/>
      <c r="J14" s="63" t="s">
        <v>16</v>
      </c>
      <c r="K14" s="8"/>
      <c r="L14" s="43"/>
      <c r="M14" s="8"/>
      <c r="N14" s="66"/>
      <c r="O14" s="36"/>
      <c r="P14" s="58"/>
      <c r="Q14" s="53"/>
      <c r="R14" s="53"/>
      <c r="S14" s="53"/>
      <c r="T14" s="58"/>
      <c r="U14" s="58"/>
      <c r="V14" s="187"/>
      <c r="W14" s="178"/>
      <c r="AG14" s="4" t="e">
        <v>#N/A</v>
      </c>
    </row>
    <row r="15" spans="1:44" x14ac:dyDescent="0.4">
      <c r="A15" s="177" t="str">
        <f t="shared" si="0"/>
        <v xml:space="preserve">   </v>
      </c>
      <c r="B15" s="226" t="e">
        <v>#N/A</v>
      </c>
      <c r="C15" s="227" t="s">
        <v>102</v>
      </c>
      <c r="D15" s="189"/>
      <c r="E15" s="63">
        <v>1</v>
      </c>
      <c r="F15" s="63"/>
      <c r="G15" s="63"/>
      <c r="H15" s="63"/>
      <c r="I15" s="63"/>
      <c r="J15" s="63" t="s">
        <v>16</v>
      </c>
      <c r="K15" s="8"/>
      <c r="L15" s="43"/>
      <c r="M15" s="8"/>
      <c r="N15" s="66"/>
      <c r="O15" s="36"/>
      <c r="P15" s="58"/>
      <c r="Q15" s="53"/>
      <c r="R15" s="53"/>
      <c r="S15" s="53"/>
      <c r="T15" s="58"/>
      <c r="U15" s="58"/>
      <c r="V15" s="187"/>
      <c r="W15" s="178"/>
      <c r="AG15" s="4" t="e">
        <v>#N/A</v>
      </c>
    </row>
    <row r="16" spans="1:44" x14ac:dyDescent="0.4">
      <c r="A16" s="177" t="str">
        <f t="shared" si="0"/>
        <v xml:space="preserve">   </v>
      </c>
      <c r="B16" s="226" t="s">
        <v>441</v>
      </c>
      <c r="C16" s="62" t="s">
        <v>1</v>
      </c>
      <c r="D16" s="189" t="s">
        <v>300</v>
      </c>
      <c r="E16" s="63">
        <v>1</v>
      </c>
      <c r="F16" s="63"/>
      <c r="G16" s="63"/>
      <c r="H16" s="63" t="s">
        <v>238</v>
      </c>
      <c r="I16" s="63"/>
      <c r="J16" s="63" t="s">
        <v>16</v>
      </c>
      <c r="K16" s="64">
        <v>911</v>
      </c>
      <c r="L16" s="65">
        <v>31539</v>
      </c>
      <c r="M16" s="64"/>
      <c r="N16" s="8" t="s">
        <v>17</v>
      </c>
      <c r="O16" s="36" t="s">
        <v>120</v>
      </c>
      <c r="P16" s="36"/>
      <c r="Q16" s="36"/>
      <c r="R16" s="36"/>
      <c r="S16" s="36"/>
      <c r="T16" s="58"/>
      <c r="U16" s="58"/>
      <c r="V16" s="187"/>
      <c r="AG16" s="4" t="s">
        <v>441</v>
      </c>
    </row>
    <row r="17" spans="1:33" x14ac:dyDescent="0.4">
      <c r="A17" s="177" t="str">
        <f t="shared" si="0"/>
        <v>Yes</v>
      </c>
      <c r="B17" s="226" t="s">
        <v>519</v>
      </c>
      <c r="C17" s="62" t="s">
        <v>30</v>
      </c>
      <c r="D17" s="189" t="s">
        <v>297</v>
      </c>
      <c r="E17" s="63">
        <v>1</v>
      </c>
      <c r="F17" s="63"/>
      <c r="G17" s="63"/>
      <c r="H17" s="63" t="s">
        <v>149</v>
      </c>
      <c r="I17" s="63" t="s">
        <v>322</v>
      </c>
      <c r="J17" s="63" t="s">
        <v>16</v>
      </c>
      <c r="K17" s="8">
        <v>1089</v>
      </c>
      <c r="L17" s="43">
        <v>74145</v>
      </c>
      <c r="M17" s="8"/>
      <c r="N17" s="66" t="s">
        <v>17</v>
      </c>
      <c r="O17" s="36" t="s">
        <v>107</v>
      </c>
      <c r="P17" s="58"/>
      <c r="Q17" s="58"/>
      <c r="R17" s="58"/>
      <c r="S17" s="58"/>
      <c r="T17" s="58"/>
      <c r="U17" s="58"/>
      <c r="V17" s="187"/>
      <c r="AG17" s="4" t="s">
        <v>519</v>
      </c>
    </row>
    <row r="18" spans="1:33" x14ac:dyDescent="0.4">
      <c r="A18" s="177" t="str">
        <f t="shared" si="0"/>
        <v xml:space="preserve">   </v>
      </c>
      <c r="B18" s="226" t="e">
        <v>#N/A</v>
      </c>
      <c r="C18" s="227" t="s">
        <v>76</v>
      </c>
      <c r="D18" s="189"/>
      <c r="E18" s="63">
        <v>1</v>
      </c>
      <c r="F18" s="63"/>
      <c r="G18" s="63"/>
      <c r="H18" s="63"/>
      <c r="I18" s="63"/>
      <c r="J18" s="63" t="s">
        <v>16</v>
      </c>
      <c r="K18" s="8"/>
      <c r="L18" s="43"/>
      <c r="M18" s="8"/>
      <c r="N18" s="66"/>
      <c r="O18" s="36"/>
      <c r="P18" s="58"/>
      <c r="Q18" s="58"/>
      <c r="R18" s="58"/>
      <c r="S18" s="58"/>
      <c r="T18" s="58"/>
      <c r="U18" s="58"/>
      <c r="V18" s="187"/>
      <c r="AG18" s="4" t="e">
        <v>#N/A</v>
      </c>
    </row>
    <row r="19" spans="1:33" x14ac:dyDescent="0.4">
      <c r="A19" s="177" t="str">
        <f t="shared" si="0"/>
        <v xml:space="preserve">   </v>
      </c>
      <c r="B19" s="226" t="e">
        <v>#N/A</v>
      </c>
      <c r="C19" s="227" t="s">
        <v>77</v>
      </c>
      <c r="D19" s="189"/>
      <c r="E19" s="63">
        <v>1</v>
      </c>
      <c r="F19" s="63"/>
      <c r="G19" s="63"/>
      <c r="H19" s="63"/>
      <c r="I19" s="63"/>
      <c r="J19" s="63" t="s">
        <v>16</v>
      </c>
      <c r="K19" s="8"/>
      <c r="L19" s="43"/>
      <c r="M19" s="8"/>
      <c r="N19" s="66"/>
      <c r="O19" s="36"/>
      <c r="P19" s="58"/>
      <c r="Q19" s="58"/>
      <c r="R19" s="58"/>
      <c r="S19" s="58"/>
      <c r="T19" s="58"/>
      <c r="U19" s="58"/>
      <c r="V19" s="187"/>
      <c r="AG19" s="4" t="e">
        <v>#N/A</v>
      </c>
    </row>
    <row r="20" spans="1:33" x14ac:dyDescent="0.4">
      <c r="A20" s="177" t="str">
        <f t="shared" si="0"/>
        <v xml:space="preserve">   </v>
      </c>
      <c r="B20" s="226" t="e">
        <v>#N/A</v>
      </c>
      <c r="C20" s="62" t="s">
        <v>330</v>
      </c>
      <c r="D20" s="189"/>
      <c r="E20" s="63">
        <v>1</v>
      </c>
      <c r="F20" s="63"/>
      <c r="G20" s="63"/>
      <c r="H20" s="63"/>
      <c r="I20" s="63"/>
      <c r="J20" s="63" t="s">
        <v>16</v>
      </c>
      <c r="K20" s="8"/>
      <c r="L20" s="43"/>
      <c r="M20" s="8"/>
      <c r="N20" s="66"/>
      <c r="O20" s="36"/>
      <c r="P20" s="58"/>
      <c r="Q20" s="58"/>
      <c r="R20" s="58"/>
      <c r="S20" s="58"/>
      <c r="T20" s="58"/>
      <c r="U20" s="58"/>
      <c r="V20" s="187"/>
      <c r="AG20" s="4" t="e">
        <v>#N/A</v>
      </c>
    </row>
    <row r="21" spans="1:33" x14ac:dyDescent="0.4">
      <c r="A21" s="177" t="str">
        <f t="shared" si="0"/>
        <v xml:space="preserve">   </v>
      </c>
      <c r="B21" s="226" t="e">
        <v>#N/A</v>
      </c>
      <c r="C21" s="62" t="s">
        <v>60</v>
      </c>
      <c r="D21" s="189"/>
      <c r="E21" s="63">
        <v>1</v>
      </c>
      <c r="F21" s="63"/>
      <c r="G21" s="63"/>
      <c r="H21" s="63"/>
      <c r="I21" s="63"/>
      <c r="J21" s="63" t="s">
        <v>16</v>
      </c>
      <c r="K21" s="8"/>
      <c r="L21" s="43"/>
      <c r="M21" s="8"/>
      <c r="N21" s="66"/>
      <c r="O21" s="36"/>
      <c r="P21" s="58"/>
      <c r="Q21" s="58"/>
      <c r="R21" s="58"/>
      <c r="S21" s="58"/>
      <c r="T21" s="58"/>
      <c r="U21" s="58"/>
      <c r="V21" s="187"/>
      <c r="AG21" s="4" t="e">
        <v>#N/A</v>
      </c>
    </row>
    <row r="22" spans="1:33" x14ac:dyDescent="0.4">
      <c r="A22" s="177" t="str">
        <f t="shared" si="0"/>
        <v>Yes</v>
      </c>
      <c r="B22" s="226" t="s">
        <v>520</v>
      </c>
      <c r="C22" s="62" t="s">
        <v>95</v>
      </c>
      <c r="D22" s="189" t="s">
        <v>301</v>
      </c>
      <c r="E22" s="68">
        <v>1</v>
      </c>
      <c r="F22" s="68"/>
      <c r="G22" s="68"/>
      <c r="H22" s="68" t="s">
        <v>249</v>
      </c>
      <c r="I22" s="68" t="s">
        <v>322</v>
      </c>
      <c r="J22" s="63" t="s">
        <v>16</v>
      </c>
      <c r="K22" s="8">
        <v>1354</v>
      </c>
      <c r="L22" s="43">
        <v>73155</v>
      </c>
      <c r="M22" s="8"/>
      <c r="N22" s="66" t="s">
        <v>17</v>
      </c>
      <c r="O22" s="36" t="s">
        <v>107</v>
      </c>
      <c r="P22" s="58"/>
      <c r="Q22" s="58"/>
      <c r="R22" s="58"/>
      <c r="S22" s="58"/>
      <c r="T22" s="58"/>
      <c r="U22" s="58"/>
      <c r="V22" s="187" t="s">
        <v>291</v>
      </c>
      <c r="AG22" s="4" t="s">
        <v>520</v>
      </c>
    </row>
    <row r="23" spans="1:33" x14ac:dyDescent="0.4">
      <c r="A23" s="177" t="str">
        <f t="shared" si="0"/>
        <v>Yes</v>
      </c>
      <c r="B23" s="226" t="s">
        <v>412</v>
      </c>
      <c r="C23" s="70" t="s">
        <v>283</v>
      </c>
      <c r="D23" s="188" t="s">
        <v>298</v>
      </c>
      <c r="E23" s="68">
        <v>1</v>
      </c>
      <c r="F23" s="68"/>
      <c r="G23" s="68"/>
      <c r="H23" s="68" t="s">
        <v>249</v>
      </c>
      <c r="I23" s="68" t="s">
        <v>322</v>
      </c>
      <c r="J23" s="63" t="s">
        <v>16</v>
      </c>
      <c r="K23" s="8">
        <v>491</v>
      </c>
      <c r="L23" s="43">
        <v>17721</v>
      </c>
      <c r="M23" s="8"/>
      <c r="N23" s="66" t="s">
        <v>17</v>
      </c>
      <c r="O23" s="36" t="s">
        <v>107</v>
      </c>
      <c r="P23" s="58"/>
      <c r="Q23" s="58"/>
      <c r="R23" s="58"/>
      <c r="S23" s="58"/>
      <c r="T23" s="58"/>
      <c r="U23" s="58"/>
      <c r="V23" s="187"/>
      <c r="AG23" s="4" t="s">
        <v>412</v>
      </c>
    </row>
    <row r="24" spans="1:33" x14ac:dyDescent="0.4">
      <c r="A24" s="177" t="str">
        <f t="shared" si="0"/>
        <v xml:space="preserve">   </v>
      </c>
      <c r="B24" s="226" t="s">
        <v>413</v>
      </c>
      <c r="C24" s="62" t="s">
        <v>50</v>
      </c>
      <c r="D24" s="189"/>
      <c r="E24" s="63">
        <v>1</v>
      </c>
      <c r="F24" s="63"/>
      <c r="G24" s="63"/>
      <c r="H24" s="63" t="s">
        <v>238</v>
      </c>
      <c r="I24" s="63"/>
      <c r="J24" s="63" t="s">
        <v>16</v>
      </c>
      <c r="K24" s="8">
        <v>235</v>
      </c>
      <c r="L24" s="43">
        <v>9594</v>
      </c>
      <c r="M24" s="8"/>
      <c r="N24" s="66" t="s">
        <v>17</v>
      </c>
      <c r="O24" s="36" t="s">
        <v>120</v>
      </c>
      <c r="P24" s="58"/>
      <c r="Q24" s="58"/>
      <c r="R24" s="58"/>
      <c r="S24" s="58"/>
      <c r="T24" s="53" t="s">
        <v>120</v>
      </c>
      <c r="U24" s="58"/>
      <c r="V24" s="187" t="s">
        <v>260</v>
      </c>
      <c r="Y24" s="4" t="s">
        <v>235</v>
      </c>
      <c r="AG24" s="4" t="s">
        <v>413</v>
      </c>
    </row>
    <row r="25" spans="1:33" x14ac:dyDescent="0.4">
      <c r="A25" s="177" t="str">
        <f t="shared" si="0"/>
        <v>Yes</v>
      </c>
      <c r="B25" s="226" t="s">
        <v>426</v>
      </c>
      <c r="C25" s="62" t="s">
        <v>41</v>
      </c>
      <c r="D25" s="189" t="s">
        <v>294</v>
      </c>
      <c r="E25" s="63">
        <v>1</v>
      </c>
      <c r="F25" s="63"/>
      <c r="G25" s="63"/>
      <c r="H25" s="63" t="s">
        <v>148</v>
      </c>
      <c r="I25" s="63" t="s">
        <v>322</v>
      </c>
      <c r="J25" s="63" t="s">
        <v>16</v>
      </c>
      <c r="K25" s="64">
        <v>515</v>
      </c>
      <c r="L25" s="65">
        <v>19425</v>
      </c>
      <c r="M25" s="64"/>
      <c r="N25" s="8" t="s">
        <v>17</v>
      </c>
      <c r="O25" s="36" t="s">
        <v>120</v>
      </c>
      <c r="P25" s="36"/>
      <c r="Q25" s="36" t="s">
        <v>107</v>
      </c>
      <c r="R25" s="36"/>
      <c r="S25" s="36"/>
      <c r="T25" s="58"/>
      <c r="U25" s="58"/>
      <c r="V25" s="187"/>
      <c r="W25" s="170" t="s">
        <v>229</v>
      </c>
      <c r="X25" s="170">
        <v>42476</v>
      </c>
      <c r="AG25" s="4" t="s">
        <v>426</v>
      </c>
    </row>
    <row r="26" spans="1:33" x14ac:dyDescent="0.4">
      <c r="A26" s="177" t="str">
        <f t="shared" si="0"/>
        <v xml:space="preserve">   </v>
      </c>
      <c r="B26" s="226" t="e">
        <v>#N/A</v>
      </c>
      <c r="C26" s="62" t="s">
        <v>331</v>
      </c>
      <c r="D26" s="189"/>
      <c r="E26" s="63">
        <v>1</v>
      </c>
      <c r="F26" s="63"/>
      <c r="G26" s="63"/>
      <c r="H26" s="63"/>
      <c r="I26" s="63"/>
      <c r="J26" s="63" t="s">
        <v>16</v>
      </c>
      <c r="K26" s="64"/>
      <c r="L26" s="65"/>
      <c r="M26" s="64"/>
      <c r="N26" s="8"/>
      <c r="O26" s="36"/>
      <c r="P26" s="36"/>
      <c r="Q26" s="36"/>
      <c r="R26" s="36"/>
      <c r="S26" s="36"/>
      <c r="T26" s="58"/>
      <c r="U26" s="58"/>
      <c r="V26" s="187"/>
      <c r="AG26" s="4" t="e">
        <v>#N/A</v>
      </c>
    </row>
    <row r="27" spans="1:33" x14ac:dyDescent="0.4">
      <c r="A27" s="177" t="str">
        <f t="shared" ref="A27:A36" si="1">IF(O27="Planning","Yes",IF(O27="Underway","Yes",IF(P27="Planning","Yes",IF(P27="Underway","Yes",IF(Q27="Planning","Yes",IF(Q27="Underway","Yes",IF(R27="Planning","Yes",IF(R27="Underway","Yes",IF(S27="Planning","Yes",IF(S27="Underway","Yes",IF(T27="Planning","Yes",IF(T27="Underway","Yes",IF(U27="Planning","Yes",IF(U27="Underway","Yes","   "))))))))))))))</f>
        <v xml:space="preserve">   </v>
      </c>
      <c r="B27" s="226" t="s">
        <v>414</v>
      </c>
      <c r="C27" s="70" t="s">
        <v>86</v>
      </c>
      <c r="D27" s="188"/>
      <c r="E27" s="63">
        <v>1</v>
      </c>
      <c r="F27" s="63"/>
      <c r="G27" s="63"/>
      <c r="H27" s="63" t="s">
        <v>238</v>
      </c>
      <c r="I27" s="63"/>
      <c r="J27" s="63" t="s">
        <v>16</v>
      </c>
      <c r="K27" s="8">
        <v>49</v>
      </c>
      <c r="L27" s="43">
        <v>2411</v>
      </c>
      <c r="M27" s="8"/>
      <c r="N27" s="66" t="s">
        <v>17</v>
      </c>
      <c r="O27" s="36" t="s">
        <v>120</v>
      </c>
      <c r="P27" s="58"/>
      <c r="Q27" s="53"/>
      <c r="R27" s="53" t="s">
        <v>120</v>
      </c>
      <c r="S27" s="53" t="s">
        <v>120</v>
      </c>
      <c r="T27" s="58" t="s">
        <v>120</v>
      </c>
      <c r="U27" s="58"/>
      <c r="V27" s="187" t="s">
        <v>121</v>
      </c>
      <c r="Y27" s="4" t="s">
        <v>327</v>
      </c>
      <c r="AG27" s="4" t="s">
        <v>414</v>
      </c>
    </row>
    <row r="28" spans="1:33" x14ac:dyDescent="0.4">
      <c r="A28" s="177" t="str">
        <f t="shared" si="1"/>
        <v>Yes</v>
      </c>
      <c r="B28" s="226" t="s">
        <v>521</v>
      </c>
      <c r="C28" s="62" t="s">
        <v>36</v>
      </c>
      <c r="D28" s="189" t="s">
        <v>300</v>
      </c>
      <c r="E28" s="63">
        <v>1</v>
      </c>
      <c r="F28" s="63"/>
      <c r="G28" s="63"/>
      <c r="H28" s="63" t="s">
        <v>149</v>
      </c>
      <c r="I28" s="63" t="s">
        <v>322</v>
      </c>
      <c r="J28" s="63" t="s">
        <v>16</v>
      </c>
      <c r="K28" s="64">
        <v>377</v>
      </c>
      <c r="L28" s="65">
        <v>20572</v>
      </c>
      <c r="M28" s="64"/>
      <c r="N28" s="8" t="s">
        <v>17</v>
      </c>
      <c r="O28" s="36" t="s">
        <v>120</v>
      </c>
      <c r="P28" s="58"/>
      <c r="Q28" s="53" t="s">
        <v>107</v>
      </c>
      <c r="R28" s="53"/>
      <c r="S28" s="53"/>
      <c r="T28" s="53"/>
      <c r="U28" s="58"/>
      <c r="V28" s="187"/>
      <c r="W28" s="178">
        <v>42476</v>
      </c>
      <c r="X28" s="170">
        <v>42537</v>
      </c>
      <c r="AG28" s="4" t="s">
        <v>521</v>
      </c>
    </row>
    <row r="29" spans="1:33" x14ac:dyDescent="0.4">
      <c r="A29" s="177" t="str">
        <f t="shared" si="1"/>
        <v xml:space="preserve">   </v>
      </c>
      <c r="B29" s="226" t="s">
        <v>415</v>
      </c>
      <c r="C29" s="62" t="s">
        <v>332</v>
      </c>
      <c r="D29" s="189"/>
      <c r="E29" s="63">
        <v>1</v>
      </c>
      <c r="F29" s="63"/>
      <c r="G29" s="63"/>
      <c r="H29" s="63"/>
      <c r="I29" s="63"/>
      <c r="J29" s="63" t="s">
        <v>16</v>
      </c>
      <c r="K29" s="64"/>
      <c r="L29" s="65"/>
      <c r="M29" s="64"/>
      <c r="N29" s="8"/>
      <c r="O29" s="36"/>
      <c r="P29" s="58"/>
      <c r="Q29" s="53"/>
      <c r="R29" s="53"/>
      <c r="S29" s="53"/>
      <c r="T29" s="53"/>
      <c r="U29" s="58"/>
      <c r="V29" s="187"/>
      <c r="W29" s="178"/>
      <c r="AG29" s="4" t="s">
        <v>415</v>
      </c>
    </row>
    <row r="30" spans="1:33" x14ac:dyDescent="0.4">
      <c r="A30" s="177" t="str">
        <f t="shared" si="1"/>
        <v>Yes</v>
      </c>
      <c r="B30" s="226" t="s">
        <v>450</v>
      </c>
      <c r="C30" s="62" t="s">
        <v>6</v>
      </c>
      <c r="D30" s="189" t="s">
        <v>302</v>
      </c>
      <c r="E30" s="63">
        <v>1</v>
      </c>
      <c r="F30" s="63"/>
      <c r="G30" s="63"/>
      <c r="H30" s="63" t="s">
        <v>149</v>
      </c>
      <c r="I30" s="63" t="s">
        <v>322</v>
      </c>
      <c r="J30" s="63" t="s">
        <v>16</v>
      </c>
      <c r="K30" s="8">
        <v>385</v>
      </c>
      <c r="L30" s="43">
        <v>13300</v>
      </c>
      <c r="M30" s="8"/>
      <c r="N30" s="66" t="s">
        <v>17</v>
      </c>
      <c r="O30" s="36" t="s">
        <v>107</v>
      </c>
      <c r="P30" s="58"/>
      <c r="Q30" s="58"/>
      <c r="R30" s="58"/>
      <c r="S30" s="58"/>
      <c r="T30" s="58"/>
      <c r="U30" s="58"/>
      <c r="V30" s="187"/>
      <c r="W30" s="170">
        <v>42537</v>
      </c>
      <c r="AG30" s="4" t="s">
        <v>450</v>
      </c>
    </row>
    <row r="31" spans="1:33" x14ac:dyDescent="0.4">
      <c r="A31" s="177" t="str">
        <f t="shared" si="1"/>
        <v>Yes</v>
      </c>
      <c r="B31" s="226" t="s">
        <v>416</v>
      </c>
      <c r="C31" s="62" t="s">
        <v>68</v>
      </c>
      <c r="D31" s="189"/>
      <c r="E31" s="68">
        <v>1</v>
      </c>
      <c r="F31" s="68"/>
      <c r="G31" s="68"/>
      <c r="H31" s="68" t="s">
        <v>149</v>
      </c>
      <c r="I31" s="68" t="s">
        <v>322</v>
      </c>
      <c r="J31" s="63" t="s">
        <v>16</v>
      </c>
      <c r="K31" s="8">
        <v>89</v>
      </c>
      <c r="L31" s="43">
        <v>5039</v>
      </c>
      <c r="M31" s="8"/>
      <c r="N31" s="66" t="s">
        <v>17</v>
      </c>
      <c r="O31" s="36" t="s">
        <v>107</v>
      </c>
      <c r="P31" s="58"/>
      <c r="Q31" s="58"/>
      <c r="R31" s="58"/>
      <c r="S31" s="58"/>
      <c r="T31" s="58"/>
      <c r="U31" s="58"/>
      <c r="V31" s="187"/>
      <c r="W31" s="170">
        <v>42506</v>
      </c>
      <c r="X31" s="170">
        <v>42506</v>
      </c>
      <c r="AG31" s="4" t="s">
        <v>416</v>
      </c>
    </row>
    <row r="32" spans="1:33" x14ac:dyDescent="0.4">
      <c r="A32" s="177" t="str">
        <f t="shared" si="1"/>
        <v xml:space="preserve">   </v>
      </c>
      <c r="B32" s="226" t="s">
        <v>522</v>
      </c>
      <c r="C32" s="72" t="s">
        <v>7</v>
      </c>
      <c r="D32" s="190"/>
      <c r="E32" s="208">
        <v>1</v>
      </c>
      <c r="F32" s="208"/>
      <c r="G32" s="208"/>
      <c r="H32" s="208"/>
      <c r="I32" s="208"/>
      <c r="J32" s="73" t="s">
        <v>16</v>
      </c>
      <c r="K32" s="8"/>
      <c r="L32" s="43"/>
      <c r="M32" s="8"/>
      <c r="N32" s="74"/>
      <c r="O32" s="36"/>
      <c r="P32" s="58"/>
      <c r="Q32" s="166"/>
      <c r="R32" s="166"/>
      <c r="S32" s="166"/>
      <c r="T32" s="58"/>
      <c r="U32" s="58"/>
      <c r="V32" s="187"/>
      <c r="AG32" s="4" t="s">
        <v>522</v>
      </c>
    </row>
    <row r="33" spans="1:33" x14ac:dyDescent="0.4">
      <c r="A33" s="177" t="str">
        <f t="shared" si="1"/>
        <v xml:space="preserve">   </v>
      </c>
      <c r="B33" s="226" t="s">
        <v>417</v>
      </c>
      <c r="C33" s="72" t="s">
        <v>284</v>
      </c>
      <c r="D33" s="190" t="s">
        <v>294</v>
      </c>
      <c r="E33" s="73">
        <v>1</v>
      </c>
      <c r="F33" s="73"/>
      <c r="G33" s="73"/>
      <c r="H33" s="73" t="s">
        <v>149</v>
      </c>
      <c r="I33" s="73" t="s">
        <v>322</v>
      </c>
      <c r="J33" s="73" t="s">
        <v>16</v>
      </c>
      <c r="K33" s="8">
        <v>607</v>
      </c>
      <c r="L33" s="43">
        <v>34413</v>
      </c>
      <c r="M33" s="8"/>
      <c r="N33" s="163" t="s">
        <v>17</v>
      </c>
      <c r="O33" s="36" t="s">
        <v>120</v>
      </c>
      <c r="P33" s="58"/>
      <c r="Q33" s="167" t="s">
        <v>120</v>
      </c>
      <c r="R33" s="167"/>
      <c r="S33" s="167"/>
      <c r="T33" s="58"/>
      <c r="U33" s="58"/>
      <c r="V33" s="187"/>
      <c r="W33" s="170">
        <v>42416</v>
      </c>
      <c r="X33" s="178">
        <v>42476</v>
      </c>
      <c r="Y33" s="4" t="s">
        <v>236</v>
      </c>
      <c r="AG33" s="4" t="s">
        <v>417</v>
      </c>
    </row>
    <row r="34" spans="1:33" x14ac:dyDescent="0.4">
      <c r="A34" s="177" t="str">
        <f t="shared" si="1"/>
        <v xml:space="preserve">   </v>
      </c>
      <c r="B34" s="226" t="s">
        <v>523</v>
      </c>
      <c r="C34" s="72" t="s">
        <v>71</v>
      </c>
      <c r="D34" s="190"/>
      <c r="E34" s="73">
        <v>1</v>
      </c>
      <c r="F34" s="73"/>
      <c r="G34" s="73"/>
      <c r="H34" s="73"/>
      <c r="I34" s="73"/>
      <c r="J34" s="73" t="s">
        <v>16</v>
      </c>
      <c r="K34" s="8"/>
      <c r="L34" s="43"/>
      <c r="M34" s="8"/>
      <c r="N34" s="163"/>
      <c r="O34" s="36"/>
      <c r="P34" s="58"/>
      <c r="Q34" s="167"/>
      <c r="R34" s="167"/>
      <c r="S34" s="167"/>
      <c r="T34" s="58"/>
      <c r="U34" s="58"/>
      <c r="V34" s="187"/>
      <c r="X34" s="178"/>
      <c r="AG34" s="4" t="s">
        <v>523</v>
      </c>
    </row>
    <row r="35" spans="1:33" x14ac:dyDescent="0.4">
      <c r="A35" s="177" t="str">
        <f t="shared" si="1"/>
        <v>Yes</v>
      </c>
      <c r="B35" s="226" t="s">
        <v>524</v>
      </c>
      <c r="C35" s="62" t="s">
        <v>80</v>
      </c>
      <c r="D35" s="189" t="s">
        <v>300</v>
      </c>
      <c r="E35" s="68">
        <v>1</v>
      </c>
      <c r="F35" s="68"/>
      <c r="G35" s="68"/>
      <c r="H35" s="68" t="s">
        <v>249</v>
      </c>
      <c r="I35" s="68" t="s">
        <v>322</v>
      </c>
      <c r="J35" s="63" t="s">
        <v>16</v>
      </c>
      <c r="K35" s="8">
        <v>206</v>
      </c>
      <c r="L35" s="43">
        <v>11289</v>
      </c>
      <c r="M35" s="8"/>
      <c r="N35" s="66" t="s">
        <v>17</v>
      </c>
      <c r="O35" s="36" t="s">
        <v>107</v>
      </c>
      <c r="P35" s="58"/>
      <c r="Q35" s="58"/>
      <c r="R35" s="58"/>
      <c r="S35" s="58"/>
      <c r="T35" s="58"/>
      <c r="U35" s="58"/>
      <c r="V35" s="187"/>
      <c r="W35" s="170">
        <v>42506</v>
      </c>
      <c r="X35" s="170">
        <v>42506</v>
      </c>
      <c r="AG35" s="4" t="s">
        <v>524</v>
      </c>
    </row>
    <row r="36" spans="1:33" x14ac:dyDescent="0.4">
      <c r="A36" s="177" t="str">
        <f t="shared" si="1"/>
        <v>Yes</v>
      </c>
      <c r="B36" s="226" t="s">
        <v>418</v>
      </c>
      <c r="C36" s="62" t="s">
        <v>2</v>
      </c>
      <c r="D36" s="189" t="s">
        <v>294</v>
      </c>
      <c r="E36" s="63">
        <v>1</v>
      </c>
      <c r="F36" s="63"/>
      <c r="G36" s="63"/>
      <c r="H36" s="63" t="s">
        <v>249</v>
      </c>
      <c r="I36" s="63" t="s">
        <v>322</v>
      </c>
      <c r="J36" s="63" t="s">
        <v>16</v>
      </c>
      <c r="K36" s="64">
        <v>405</v>
      </c>
      <c r="L36" s="65">
        <v>20037</v>
      </c>
      <c r="M36" s="64"/>
      <c r="N36" s="8" t="s">
        <v>17</v>
      </c>
      <c r="O36" s="36" t="s">
        <v>120</v>
      </c>
      <c r="P36" s="36"/>
      <c r="Q36" s="36" t="s">
        <v>120</v>
      </c>
      <c r="R36" s="36"/>
      <c r="S36" s="36"/>
      <c r="T36" s="58" t="s">
        <v>107</v>
      </c>
      <c r="U36" s="58"/>
      <c r="V36" s="187"/>
      <c r="Y36" s="4" t="s">
        <v>237</v>
      </c>
      <c r="AG36" s="4" t="s">
        <v>418</v>
      </c>
    </row>
    <row r="37" spans="1:33" x14ac:dyDescent="0.4">
      <c r="A37" s="177" t="s">
        <v>230</v>
      </c>
      <c r="B37" s="226"/>
      <c r="C37" s="87" t="s">
        <v>91</v>
      </c>
      <c r="D37" s="207"/>
      <c r="E37" s="169">
        <v>2</v>
      </c>
      <c r="F37" s="169"/>
      <c r="G37" s="169"/>
      <c r="H37" s="183"/>
      <c r="I37" s="183"/>
      <c r="J37" s="169" t="s">
        <v>221</v>
      </c>
      <c r="K37" s="64"/>
      <c r="L37" s="65"/>
      <c r="M37" s="64"/>
      <c r="N37" s="182" t="s">
        <v>134</v>
      </c>
      <c r="O37" s="36"/>
      <c r="P37" s="36"/>
      <c r="Q37" s="36"/>
      <c r="R37" s="36"/>
      <c r="S37" s="36"/>
      <c r="T37" s="58"/>
      <c r="U37" s="58"/>
      <c r="V37" s="187"/>
    </row>
    <row r="38" spans="1:33" x14ac:dyDescent="0.4">
      <c r="A38" s="177" t="str">
        <f>IF(O38="Planning","Yes",IF(O38="Underway","Yes",IF(P38="Planning","Yes",IF(P38="Underway","Yes",IF(Q38="Planning","Yes",IF(Q38="Underway","Yes",IF(R38="Planning","Yes",IF(R38="Underway","Yes",IF(S38="Planning","Yes",IF(S38="Underway","Yes",IF(T38="Planning","Yes",IF(T38="Underway","Yes",IF(U38="Planning","Yes",IF(U38="Underway","Yes","   "))))))))))))))</f>
        <v>Yes</v>
      </c>
      <c r="B38" s="226" t="s">
        <v>525</v>
      </c>
      <c r="C38" s="62" t="s">
        <v>3</v>
      </c>
      <c r="D38" s="189" t="s">
        <v>304</v>
      </c>
      <c r="E38" s="63">
        <v>2</v>
      </c>
      <c r="F38" s="63"/>
      <c r="G38" s="63"/>
      <c r="H38" s="63" t="s">
        <v>151</v>
      </c>
      <c r="I38" s="63"/>
      <c r="J38" s="63" t="s">
        <v>96</v>
      </c>
      <c r="K38" s="64">
        <v>22</v>
      </c>
      <c r="L38" s="65">
        <v>367</v>
      </c>
      <c r="M38" s="64"/>
      <c r="N38" s="8" t="s">
        <v>17</v>
      </c>
      <c r="O38" s="36" t="s">
        <v>120</v>
      </c>
      <c r="P38" s="36"/>
      <c r="Q38" s="36"/>
      <c r="R38" s="36" t="s">
        <v>120</v>
      </c>
      <c r="S38" s="36" t="s">
        <v>108</v>
      </c>
      <c r="T38" s="58"/>
      <c r="U38" s="58"/>
      <c r="V38" s="187"/>
      <c r="AG38" s="4" t="s">
        <v>525</v>
      </c>
    </row>
    <row r="39" spans="1:33" x14ac:dyDescent="0.4">
      <c r="A39" s="177" t="str">
        <f t="shared" ref="A39:A46" si="2">IF(O39="Planning","Yes",IF(O39="Underway","Yes",IF(P39="Planning","Yes",IF(P39="Underway","Yes",IF(Q39="Planning","Yes",IF(Q39="Underway","Yes",IF(R39="Planning","Yes",IF(R39="Underway","Yes",IF(S39="Planning","Yes",IF(S39="Underway","Yes",IF(T39="Planning","Yes",IF(T39="Underway","Yes",IF(U39="Planning","Yes",IF(U39="Underway","Yes","   "))))))))))))))</f>
        <v>Yes</v>
      </c>
      <c r="B39" s="226" t="s">
        <v>526</v>
      </c>
      <c r="C39" s="70" t="s">
        <v>419</v>
      </c>
      <c r="D39" s="188" t="s">
        <v>293</v>
      </c>
      <c r="E39" s="63">
        <v>2</v>
      </c>
      <c r="F39" s="63"/>
      <c r="G39" s="63"/>
      <c r="H39" s="63" t="s">
        <v>249</v>
      </c>
      <c r="I39" s="63" t="s">
        <v>322</v>
      </c>
      <c r="J39" s="63" t="s">
        <v>96</v>
      </c>
      <c r="K39" s="8">
        <v>25</v>
      </c>
      <c r="L39" s="43">
        <v>1937</v>
      </c>
      <c r="M39" s="8"/>
      <c r="N39" s="8" t="s">
        <v>17</v>
      </c>
      <c r="O39" s="36" t="s">
        <v>107</v>
      </c>
      <c r="P39" s="58"/>
      <c r="Q39" s="53" t="s">
        <v>108</v>
      </c>
      <c r="R39" s="53"/>
      <c r="S39" s="53"/>
      <c r="T39" s="58"/>
      <c r="U39" s="58"/>
      <c r="V39" s="187"/>
      <c r="W39" s="170">
        <v>42506</v>
      </c>
      <c r="X39" s="170">
        <v>42537</v>
      </c>
      <c r="AG39" s="4" t="s">
        <v>526</v>
      </c>
    </row>
    <row r="40" spans="1:33" x14ac:dyDescent="0.4">
      <c r="A40" s="177" t="str">
        <f t="shared" si="2"/>
        <v xml:space="preserve">   </v>
      </c>
      <c r="B40" s="226" t="s">
        <v>429</v>
      </c>
      <c r="C40" s="70" t="s">
        <v>4</v>
      </c>
      <c r="D40" s="188" t="s">
        <v>305</v>
      </c>
      <c r="E40" s="63">
        <v>2</v>
      </c>
      <c r="F40" s="63"/>
      <c r="G40" s="63"/>
      <c r="H40" s="63" t="s">
        <v>149</v>
      </c>
      <c r="I40" s="63" t="s">
        <v>322</v>
      </c>
      <c r="J40" s="63" t="s">
        <v>96</v>
      </c>
      <c r="K40" s="64">
        <v>14</v>
      </c>
      <c r="L40" s="65">
        <v>304</v>
      </c>
      <c r="M40" s="64"/>
      <c r="N40" s="8" t="s">
        <v>17</v>
      </c>
      <c r="O40" s="36" t="s">
        <v>120</v>
      </c>
      <c r="P40" s="36"/>
      <c r="Q40" s="36"/>
      <c r="R40" s="36"/>
      <c r="S40" s="36"/>
      <c r="T40" s="58"/>
      <c r="U40" s="58"/>
      <c r="V40" s="187"/>
      <c r="AG40" s="4" t="s">
        <v>429</v>
      </c>
    </row>
    <row r="41" spans="1:33" x14ac:dyDescent="0.4">
      <c r="A41" s="177" t="str">
        <f t="shared" si="2"/>
        <v>Yes</v>
      </c>
      <c r="B41" s="226" t="s">
        <v>420</v>
      </c>
      <c r="C41" s="62" t="s">
        <v>29</v>
      </c>
      <c r="D41" s="189" t="s">
        <v>305</v>
      </c>
      <c r="E41" s="63">
        <v>2</v>
      </c>
      <c r="F41" s="63"/>
      <c r="G41" s="63"/>
      <c r="H41" s="63" t="s">
        <v>149</v>
      </c>
      <c r="I41" s="63" t="s">
        <v>322</v>
      </c>
      <c r="J41" s="63" t="s">
        <v>96</v>
      </c>
      <c r="K41" s="8">
        <v>25</v>
      </c>
      <c r="L41" s="43">
        <v>863</v>
      </c>
      <c r="M41" s="8"/>
      <c r="N41" s="66" t="s">
        <v>17</v>
      </c>
      <c r="O41" s="36" t="s">
        <v>107</v>
      </c>
      <c r="P41" s="58"/>
      <c r="Q41" s="58"/>
      <c r="R41" s="58"/>
      <c r="S41" s="58"/>
      <c r="T41" s="58"/>
      <c r="U41" s="58"/>
      <c r="V41" s="187"/>
      <c r="AG41" s="4" t="s">
        <v>420</v>
      </c>
    </row>
    <row r="42" spans="1:33" x14ac:dyDescent="0.4">
      <c r="A42" s="177" t="str">
        <f t="shared" si="2"/>
        <v xml:space="preserve">   </v>
      </c>
      <c r="B42" s="226" t="s">
        <v>421</v>
      </c>
      <c r="C42" s="62" t="s">
        <v>40</v>
      </c>
      <c r="D42" s="189"/>
      <c r="E42" s="63">
        <v>2</v>
      </c>
      <c r="F42" s="63"/>
      <c r="G42" s="63"/>
      <c r="H42" s="63" t="s">
        <v>238</v>
      </c>
      <c r="I42" s="63"/>
      <c r="J42" s="63" t="s">
        <v>96</v>
      </c>
      <c r="K42" s="64">
        <v>25</v>
      </c>
      <c r="L42" s="65">
        <v>1461</v>
      </c>
      <c r="M42" s="64"/>
      <c r="N42" s="8" t="s">
        <v>17</v>
      </c>
      <c r="O42" s="36" t="s">
        <v>120</v>
      </c>
      <c r="P42" s="36"/>
      <c r="Q42" s="36"/>
      <c r="R42" s="36"/>
      <c r="S42" s="36"/>
      <c r="T42" s="58" t="s">
        <v>120</v>
      </c>
      <c r="U42" s="58"/>
      <c r="V42" s="187"/>
      <c r="AG42" s="4" t="s">
        <v>421</v>
      </c>
    </row>
    <row r="43" spans="1:33" x14ac:dyDescent="0.4">
      <c r="A43" s="177" t="str">
        <f t="shared" si="2"/>
        <v xml:space="preserve">   </v>
      </c>
      <c r="B43" s="226" t="s">
        <v>430</v>
      </c>
      <c r="C43" s="62" t="s">
        <v>45</v>
      </c>
      <c r="D43" s="189"/>
      <c r="E43" s="63">
        <v>2</v>
      </c>
      <c r="F43" s="63"/>
      <c r="G43" s="63"/>
      <c r="H43" s="63"/>
      <c r="I43" s="63"/>
      <c r="J43" s="63" t="s">
        <v>96</v>
      </c>
      <c r="K43" s="8">
        <v>24</v>
      </c>
      <c r="L43" s="43">
        <v>559</v>
      </c>
      <c r="M43" s="8"/>
      <c r="N43" s="66"/>
      <c r="O43" s="36"/>
      <c r="P43" s="58"/>
      <c r="Q43" s="58"/>
      <c r="R43" s="58"/>
      <c r="S43" s="58"/>
      <c r="T43" s="58"/>
      <c r="U43" s="58"/>
      <c r="V43" s="187"/>
      <c r="AG43" s="4" t="s">
        <v>430</v>
      </c>
    </row>
    <row r="44" spans="1:33" x14ac:dyDescent="0.4">
      <c r="A44" s="177" t="str">
        <f t="shared" si="2"/>
        <v xml:space="preserve">   </v>
      </c>
      <c r="B44" s="226" t="e">
        <v>#N/A</v>
      </c>
      <c r="C44" s="62" t="s">
        <v>90</v>
      </c>
      <c r="D44" s="189"/>
      <c r="E44" s="68">
        <v>2</v>
      </c>
      <c r="F44" s="68"/>
      <c r="G44" s="68"/>
      <c r="H44" s="68"/>
      <c r="I44" s="68"/>
      <c r="J44" s="63" t="s">
        <v>96</v>
      </c>
      <c r="K44" s="8">
        <v>25</v>
      </c>
      <c r="L44" s="43">
        <v>374</v>
      </c>
      <c r="M44" s="8"/>
      <c r="N44" s="66"/>
      <c r="O44" s="36"/>
      <c r="P44" s="58"/>
      <c r="Q44" s="58"/>
      <c r="R44" s="58"/>
      <c r="S44" s="58"/>
      <c r="T44" s="58"/>
      <c r="U44" s="58"/>
      <c r="V44" s="187"/>
      <c r="AG44" s="4" t="e">
        <v>#N/A</v>
      </c>
    </row>
    <row r="45" spans="1:33" x14ac:dyDescent="0.4">
      <c r="A45" s="177" t="str">
        <f t="shared" si="2"/>
        <v xml:space="preserve">   </v>
      </c>
      <c r="B45" s="226" t="e">
        <v>#N/A</v>
      </c>
      <c r="C45" s="227" t="s">
        <v>73</v>
      </c>
      <c r="D45" s="189"/>
      <c r="E45" s="68">
        <v>2</v>
      </c>
      <c r="F45" s="68"/>
      <c r="G45" s="68"/>
      <c r="H45" s="68"/>
      <c r="I45" s="68"/>
      <c r="J45" s="63" t="s">
        <v>96</v>
      </c>
      <c r="K45" s="8">
        <v>25</v>
      </c>
      <c r="L45" s="43">
        <v>324</v>
      </c>
      <c r="M45" s="8"/>
      <c r="N45" s="66"/>
      <c r="O45" s="36"/>
      <c r="P45" s="58"/>
      <c r="Q45" s="58"/>
      <c r="R45" s="58"/>
      <c r="S45" s="58"/>
      <c r="T45" s="58"/>
      <c r="U45" s="58"/>
      <c r="V45" s="187"/>
      <c r="AG45" s="4" t="e">
        <v>#N/A</v>
      </c>
    </row>
    <row r="46" spans="1:33" x14ac:dyDescent="0.4">
      <c r="A46" s="177" t="str">
        <f t="shared" si="2"/>
        <v>Yes</v>
      </c>
      <c r="B46" s="226" t="s">
        <v>422</v>
      </c>
      <c r="C46" s="62" t="s">
        <v>5</v>
      </c>
      <c r="D46" s="189" t="s">
        <v>305</v>
      </c>
      <c r="E46" s="63">
        <v>2</v>
      </c>
      <c r="F46" s="63"/>
      <c r="G46" s="63"/>
      <c r="H46" s="63" t="s">
        <v>238</v>
      </c>
      <c r="I46" s="63"/>
      <c r="J46" s="63" t="s">
        <v>96</v>
      </c>
      <c r="K46" s="64">
        <v>19</v>
      </c>
      <c r="L46" s="65">
        <v>440</v>
      </c>
      <c r="M46" s="64"/>
      <c r="N46" s="8" t="s">
        <v>17</v>
      </c>
      <c r="O46" s="36" t="s">
        <v>120</v>
      </c>
      <c r="P46" s="36"/>
      <c r="Q46" s="36"/>
      <c r="R46" s="58" t="s">
        <v>107</v>
      </c>
      <c r="S46" s="58" t="s">
        <v>107</v>
      </c>
      <c r="T46" s="58" t="s">
        <v>107</v>
      </c>
      <c r="U46" s="58"/>
      <c r="V46" s="187"/>
      <c r="W46" s="170" t="s">
        <v>228</v>
      </c>
      <c r="X46" s="170">
        <v>42506</v>
      </c>
      <c r="AG46" s="4" t="s">
        <v>422</v>
      </c>
    </row>
    <row r="47" spans="1:33" x14ac:dyDescent="0.4">
      <c r="A47" s="177" t="s">
        <v>230</v>
      </c>
      <c r="B47" s="226"/>
      <c r="C47" s="87" t="s">
        <v>125</v>
      </c>
      <c r="D47" s="207"/>
      <c r="E47" s="169">
        <v>3</v>
      </c>
      <c r="F47" s="169"/>
      <c r="G47" s="169"/>
      <c r="H47" s="183"/>
      <c r="I47" s="183"/>
      <c r="J47" s="169" t="s">
        <v>221</v>
      </c>
      <c r="K47" s="64"/>
      <c r="L47" s="65"/>
      <c r="M47" s="64"/>
      <c r="N47" s="182" t="s">
        <v>134</v>
      </c>
      <c r="O47" s="36"/>
      <c r="P47" s="36"/>
      <c r="Q47" s="36"/>
      <c r="R47" s="36"/>
      <c r="S47" s="36"/>
      <c r="T47" s="58"/>
      <c r="U47" s="58"/>
      <c r="V47" s="187"/>
    </row>
    <row r="48" spans="1:33" x14ac:dyDescent="0.4">
      <c r="A48" s="177" t="str">
        <f>IF(O48="Planning","Yes",IF(O48="Underway","Yes",IF(P48="Planning","Yes",IF(P48="Underway","Yes",IF(Q48="Planning","Yes",IF(Q48="Underway","Yes",IF(R48="Planning","Yes",IF(R48="Underway","Yes",IF(S48="Planning","Yes",IF(S48="Underway","Yes",IF(T48="Planning","Yes",IF(T48="Underway","Yes",IF(U48="Planning","Yes",IF(U48="Underway","Yes","   "))))))))))))))</f>
        <v>Yes</v>
      </c>
      <c r="B48" s="226" t="s">
        <v>527</v>
      </c>
      <c r="C48" s="70" t="s">
        <v>131</v>
      </c>
      <c r="D48" s="188" t="s">
        <v>306</v>
      </c>
      <c r="E48" s="68">
        <v>3</v>
      </c>
      <c r="F48" s="68"/>
      <c r="G48" s="68"/>
      <c r="H48" s="68" t="s">
        <v>149</v>
      </c>
      <c r="I48" s="68" t="s">
        <v>322</v>
      </c>
      <c r="J48" s="64" t="s">
        <v>52</v>
      </c>
      <c r="K48" s="8"/>
      <c r="L48" s="43"/>
      <c r="M48" s="8">
        <v>46</v>
      </c>
      <c r="N48" s="66" t="s">
        <v>17</v>
      </c>
      <c r="O48" s="36" t="s">
        <v>107</v>
      </c>
      <c r="P48" s="58"/>
      <c r="Q48" s="36" t="s">
        <v>107</v>
      </c>
      <c r="R48" s="58" t="s">
        <v>108</v>
      </c>
      <c r="S48" s="58" t="s">
        <v>108</v>
      </c>
      <c r="T48" s="58" t="s">
        <v>108</v>
      </c>
      <c r="U48" s="58"/>
      <c r="V48" s="187"/>
      <c r="W48" s="170">
        <v>42506</v>
      </c>
      <c r="X48" s="170">
        <v>42537</v>
      </c>
      <c r="AG48" s="4" t="s">
        <v>527</v>
      </c>
    </row>
    <row r="49" spans="1:33" x14ac:dyDescent="0.4">
      <c r="A49" s="177" t="str">
        <f>IF(O49="Planning","Yes",IF(O49="Underway","Yes",IF(P49="Planning","Yes",IF(P49="Underway","Yes",IF(Q49="Planning","Yes",IF(Q49="Underway","Yes",IF(R49="Planning","Yes",IF(R49="Underway","Yes",IF(S49="Planning","Yes",IF(S49="Underway","Yes",IF(T49="Planning","Yes",IF(T49="Underway","Yes",IF(U49="Planning","Yes",IF(U49="Underway","Yes","   "))))))))))))))</f>
        <v>Yes</v>
      </c>
      <c r="B49" s="226" t="s">
        <v>423</v>
      </c>
      <c r="C49" s="70" t="s">
        <v>274</v>
      </c>
      <c r="D49" s="188" t="s">
        <v>306</v>
      </c>
      <c r="E49" s="68">
        <v>3</v>
      </c>
      <c r="F49" s="68" t="s">
        <v>17</v>
      </c>
      <c r="G49" s="68"/>
      <c r="H49" s="68" t="s">
        <v>240</v>
      </c>
      <c r="I49" s="68" t="s">
        <v>322</v>
      </c>
      <c r="J49" s="64" t="s">
        <v>52</v>
      </c>
      <c r="K49" s="8"/>
      <c r="L49" s="43"/>
      <c r="M49" s="8">
        <v>19</v>
      </c>
      <c r="N49" s="66" t="s">
        <v>17</v>
      </c>
      <c r="O49" s="36" t="s">
        <v>108</v>
      </c>
      <c r="P49" s="58"/>
      <c r="Q49" s="58"/>
      <c r="R49" s="58" t="s">
        <v>120</v>
      </c>
      <c r="S49" s="58" t="s">
        <v>107</v>
      </c>
      <c r="T49" s="58" t="s">
        <v>107</v>
      </c>
      <c r="U49" s="58"/>
      <c r="V49" s="187"/>
      <c r="W49" s="170">
        <v>42506</v>
      </c>
      <c r="X49" s="170">
        <v>42537</v>
      </c>
      <c r="AG49" s="4" t="s">
        <v>423</v>
      </c>
    </row>
    <row r="50" spans="1:33" x14ac:dyDescent="0.4">
      <c r="A50" s="177" t="str">
        <f>IF(O50="Planning","Yes",IF(O50="Underway","Yes",IF(P50="Planning","Yes",IF(P50="Underway","Yes",IF(Q50="Planning","Yes",IF(Q50="Underway","Yes",IF(R50="Planning","Yes",IF(R50="Underway","Yes",IF(S50="Planning","Yes",IF(S50="Underway","Yes",IF(T50="Planning","Yes",IF(T50="Underway","Yes",IF(U50="Planning","Yes",IF(U50="Underway","Yes","   "))))))))))))))</f>
        <v>Yes</v>
      </c>
      <c r="B50" s="226" t="s">
        <v>424</v>
      </c>
      <c r="C50" s="70" t="s">
        <v>11</v>
      </c>
      <c r="D50" s="188" t="s">
        <v>306</v>
      </c>
      <c r="E50" s="68">
        <v>3</v>
      </c>
      <c r="F50" s="68" t="s">
        <v>17</v>
      </c>
      <c r="G50" s="68"/>
      <c r="H50" s="68" t="s">
        <v>240</v>
      </c>
      <c r="I50" s="68" t="s">
        <v>322</v>
      </c>
      <c r="J50" s="64" t="s">
        <v>52</v>
      </c>
      <c r="K50" s="8"/>
      <c r="L50" s="43"/>
      <c r="M50" s="8">
        <v>26</v>
      </c>
      <c r="N50" s="8" t="s">
        <v>17</v>
      </c>
      <c r="O50" s="36" t="s">
        <v>108</v>
      </c>
      <c r="P50" s="58"/>
      <c r="Q50" s="53"/>
      <c r="R50" s="58" t="s">
        <v>108</v>
      </c>
      <c r="S50" s="58" t="s">
        <v>108</v>
      </c>
      <c r="T50" s="58"/>
      <c r="U50" s="58"/>
      <c r="V50" s="187"/>
      <c r="W50" s="170">
        <v>42476</v>
      </c>
      <c r="X50" s="170">
        <v>42567</v>
      </c>
      <c r="AG50" s="4" t="s">
        <v>424</v>
      </c>
    </row>
    <row r="51" spans="1:33" ht="21" customHeight="1" x14ac:dyDescent="0.4">
      <c r="A51" s="177" t="str">
        <f t="shared" ref="A51:A57" si="3">IF(O51="Planning","Yes",IF(O51="Underway","Yes",IF(P51="Planning","Yes",IF(P51="Underway","Yes",IF(Q51="Planning","Yes",IF(Q51="Underway","Yes",IF(R51="Planning","Yes",IF(R51="Underway","Yes",IF(S51="Planning","Yes",IF(S51="Underway","Yes",IF(T51="Planning","Yes",IF(T51="Underway","Yes",IF(U51="Planning","Yes",IF(U51="Underway","Yes","   "))))))))))))))</f>
        <v xml:space="preserve">   </v>
      </c>
      <c r="B51" s="226" t="s">
        <v>528</v>
      </c>
      <c r="C51" s="70" t="s">
        <v>57</v>
      </c>
      <c r="D51" s="188"/>
      <c r="E51" s="68">
        <v>3</v>
      </c>
      <c r="F51" s="68"/>
      <c r="G51" s="68"/>
      <c r="H51" s="68"/>
      <c r="I51" s="68"/>
      <c r="J51" s="64" t="s">
        <v>52</v>
      </c>
      <c r="K51" s="8"/>
      <c r="L51" s="43"/>
      <c r="M51" s="8"/>
      <c r="N51" s="8"/>
      <c r="O51" s="36"/>
      <c r="P51" s="58"/>
      <c r="Q51" s="53"/>
      <c r="R51" s="58"/>
      <c r="S51" s="58"/>
      <c r="T51" s="58"/>
      <c r="U51" s="58"/>
      <c r="V51" s="187"/>
      <c r="AG51" s="4" t="s">
        <v>528</v>
      </c>
    </row>
    <row r="52" spans="1:33" x14ac:dyDescent="0.4">
      <c r="A52" s="177" t="str">
        <f t="shared" si="3"/>
        <v>Yes</v>
      </c>
      <c r="B52" s="226" t="s">
        <v>529</v>
      </c>
      <c r="C52" s="70" t="s">
        <v>13</v>
      </c>
      <c r="D52" s="188" t="s">
        <v>306</v>
      </c>
      <c r="E52" s="68">
        <v>3</v>
      </c>
      <c r="F52" s="68" t="s">
        <v>17</v>
      </c>
      <c r="G52" s="68" t="s">
        <v>17</v>
      </c>
      <c r="H52" s="68" t="s">
        <v>148</v>
      </c>
      <c r="I52" s="68" t="s">
        <v>322</v>
      </c>
      <c r="J52" s="64" t="s">
        <v>52</v>
      </c>
      <c r="K52" s="8"/>
      <c r="L52" s="43"/>
      <c r="M52" s="8">
        <v>4</v>
      </c>
      <c r="N52" s="66" t="s">
        <v>17</v>
      </c>
      <c r="O52" s="36" t="s">
        <v>120</v>
      </c>
      <c r="P52" s="58"/>
      <c r="Q52" s="53"/>
      <c r="R52" s="36" t="s">
        <v>108</v>
      </c>
      <c r="S52" s="36" t="s">
        <v>108</v>
      </c>
      <c r="T52" s="36" t="s">
        <v>108</v>
      </c>
      <c r="U52" s="58"/>
      <c r="V52" s="187"/>
      <c r="W52" s="170" t="s">
        <v>228</v>
      </c>
      <c r="X52" s="170">
        <v>42476</v>
      </c>
      <c r="AG52" s="4" t="s">
        <v>529</v>
      </c>
    </row>
    <row r="53" spans="1:33" x14ac:dyDescent="0.4">
      <c r="A53" s="177" t="s">
        <v>17</v>
      </c>
      <c r="B53" s="226" t="s">
        <v>425</v>
      </c>
      <c r="C53" s="70" t="s">
        <v>8</v>
      </c>
      <c r="D53" s="188"/>
      <c r="E53" s="68">
        <v>3</v>
      </c>
      <c r="F53" s="68"/>
      <c r="G53" s="68" t="s">
        <v>17</v>
      </c>
      <c r="H53" s="68" t="s">
        <v>148</v>
      </c>
      <c r="I53" s="68"/>
      <c r="J53" s="64" t="s">
        <v>52</v>
      </c>
      <c r="K53" s="8"/>
      <c r="L53" s="43"/>
      <c r="M53" s="8"/>
      <c r="N53" s="66" t="s">
        <v>17</v>
      </c>
      <c r="O53" s="36"/>
      <c r="P53" s="58"/>
      <c r="Q53" s="53"/>
      <c r="R53" s="55" t="s">
        <v>107</v>
      </c>
      <c r="S53" s="55" t="s">
        <v>107</v>
      </c>
      <c r="T53" s="58" t="s">
        <v>107</v>
      </c>
      <c r="U53" s="58"/>
      <c r="V53" s="187" t="s">
        <v>383</v>
      </c>
      <c r="AG53" s="4" t="s">
        <v>425</v>
      </c>
    </row>
    <row r="54" spans="1:33" x14ac:dyDescent="0.4">
      <c r="A54" s="177" t="str">
        <f t="shared" si="3"/>
        <v>Yes</v>
      </c>
      <c r="B54" s="226" t="s">
        <v>530</v>
      </c>
      <c r="C54" s="62" t="s">
        <v>275</v>
      </c>
      <c r="D54" s="189" t="s">
        <v>307</v>
      </c>
      <c r="E54" s="68">
        <v>3</v>
      </c>
      <c r="F54" s="68"/>
      <c r="G54" s="68" t="s">
        <v>17</v>
      </c>
      <c r="H54" s="68" t="s">
        <v>151</v>
      </c>
      <c r="I54" s="68" t="s">
        <v>322</v>
      </c>
      <c r="J54" s="64" t="s">
        <v>52</v>
      </c>
      <c r="K54" s="8"/>
      <c r="L54" s="43"/>
      <c r="M54" s="8">
        <v>60</v>
      </c>
      <c r="N54" s="8" t="s">
        <v>17</v>
      </c>
      <c r="O54" s="36"/>
      <c r="P54" s="58"/>
      <c r="Q54" s="55"/>
      <c r="R54" s="55" t="s">
        <v>107</v>
      </c>
      <c r="S54" s="55" t="s">
        <v>107</v>
      </c>
      <c r="T54" s="58" t="s">
        <v>107</v>
      </c>
      <c r="U54" s="58"/>
      <c r="V54" s="187"/>
      <c r="W54" s="170">
        <v>42506</v>
      </c>
      <c r="X54" s="170">
        <v>42537</v>
      </c>
      <c r="AG54" s="4" t="s">
        <v>530</v>
      </c>
    </row>
    <row r="55" spans="1:33" x14ac:dyDescent="0.4">
      <c r="A55" s="177" t="str">
        <f>IF(O55="Planning","Yes",IF(O55="Underway","Yes",IF(P55="Planning","Yes",IF(P55="Underway","Yes",IF(Q55="Planning","Yes",IF(Q55="Underway","Yes",IF(R55="Planning","Yes",IF(R55="Underway","Yes",IF(S55="Planning","Yes",IF(S55="Underway","Yes",IF(T55="Planning","Yes",IF(T55="Underway","Yes",IF(U55="Planning","Yes",IF(U55="Underway","Yes","   "))))))))))))))</f>
        <v>Yes</v>
      </c>
      <c r="B55" s="226" t="s">
        <v>516</v>
      </c>
      <c r="C55" s="70" t="s">
        <v>333</v>
      </c>
      <c r="D55" s="209" t="s">
        <v>352</v>
      </c>
      <c r="E55" s="63">
        <v>5.0999999999999996</v>
      </c>
      <c r="F55" s="210" t="s">
        <v>17</v>
      </c>
      <c r="G55" s="210"/>
      <c r="H55" s="210" t="s">
        <v>240</v>
      </c>
      <c r="I55" s="210" t="s">
        <v>323</v>
      </c>
      <c r="J55" s="175" t="s">
        <v>52</v>
      </c>
      <c r="K55" s="153"/>
      <c r="L55" s="43"/>
      <c r="M55" s="8">
        <v>3</v>
      </c>
      <c r="N55" s="66" t="s">
        <v>133</v>
      </c>
      <c r="O55" s="36"/>
      <c r="P55" s="58"/>
      <c r="Q55" s="58"/>
      <c r="R55" s="58" t="s">
        <v>120</v>
      </c>
      <c r="S55" s="58" t="s">
        <v>108</v>
      </c>
      <c r="T55" s="58"/>
      <c r="U55" s="58"/>
      <c r="V55" s="187"/>
      <c r="W55" s="178">
        <v>42476</v>
      </c>
      <c r="X55" s="170">
        <v>42506</v>
      </c>
      <c r="AG55" s="4" t="s">
        <v>516</v>
      </c>
    </row>
    <row r="56" spans="1:33" x14ac:dyDescent="0.4">
      <c r="A56" s="177" t="str">
        <f t="shared" si="3"/>
        <v>Yes</v>
      </c>
      <c r="B56" s="226" t="s">
        <v>426</v>
      </c>
      <c r="C56" s="70" t="s">
        <v>42</v>
      </c>
      <c r="D56" s="188" t="s">
        <v>294</v>
      </c>
      <c r="E56" s="68">
        <v>3</v>
      </c>
      <c r="F56" s="68"/>
      <c r="G56" s="68"/>
      <c r="H56" s="68" t="s">
        <v>148</v>
      </c>
      <c r="I56" s="68"/>
      <c r="J56" s="64" t="s">
        <v>52</v>
      </c>
      <c r="K56" s="8"/>
      <c r="L56" s="43"/>
      <c r="M56" s="8"/>
      <c r="N56" s="8" t="s">
        <v>133</v>
      </c>
      <c r="O56" s="36" t="s">
        <v>120</v>
      </c>
      <c r="P56" s="58"/>
      <c r="Q56" s="36" t="s">
        <v>107</v>
      </c>
      <c r="R56" s="36"/>
      <c r="S56" s="36"/>
      <c r="T56" s="58"/>
      <c r="U56" s="58"/>
      <c r="V56" s="187"/>
      <c r="AG56" s="4" t="s">
        <v>426</v>
      </c>
    </row>
    <row r="57" spans="1:33" x14ac:dyDescent="0.4">
      <c r="A57" s="177" t="str">
        <f t="shared" si="3"/>
        <v xml:space="preserve">   </v>
      </c>
      <c r="B57" s="226" t="s">
        <v>531</v>
      </c>
      <c r="C57" s="62" t="s">
        <v>276</v>
      </c>
      <c r="D57" s="189" t="s">
        <v>306</v>
      </c>
      <c r="E57" s="68">
        <v>3</v>
      </c>
      <c r="F57" s="68"/>
      <c r="G57" s="68"/>
      <c r="H57" s="68" t="s">
        <v>238</v>
      </c>
      <c r="I57" s="68"/>
      <c r="J57" s="64" t="s">
        <v>52</v>
      </c>
      <c r="K57" s="8"/>
      <c r="L57" s="43"/>
      <c r="M57" s="8">
        <v>12</v>
      </c>
      <c r="N57" s="8" t="s">
        <v>17</v>
      </c>
      <c r="O57" s="36" t="s">
        <v>120</v>
      </c>
      <c r="P57" s="36"/>
      <c r="Q57" s="36"/>
      <c r="R57" s="36" t="s">
        <v>120</v>
      </c>
      <c r="S57" s="36" t="s">
        <v>120</v>
      </c>
      <c r="T57" s="36" t="s">
        <v>120</v>
      </c>
      <c r="U57" s="58"/>
      <c r="V57" s="187"/>
      <c r="AG57" s="4" t="s">
        <v>531</v>
      </c>
    </row>
    <row r="58" spans="1:33" x14ac:dyDescent="0.4">
      <c r="A58" s="177" t="str">
        <f>IF(O58="Planning","Yes",IF(O58="Underway","Yes",IF(P58="Planning","Yes",IF(P58="Underway","Yes",IF(Q58="Planning","Yes",IF(Q58="Underway","Yes",IF(R58="Planning","Yes",IF(R58="Underway","Yes",IF(S58="Planning","Yes",IF(S58="Underway","Yes",IF(T58="Planning","Yes",IF(T58="Underway","Yes",IF(U58="Planning","Yes",IF(U58="Underway","Yes","   "))))))))))))))</f>
        <v>Yes</v>
      </c>
      <c r="B58" s="226" t="s">
        <v>532</v>
      </c>
      <c r="C58" s="70" t="s">
        <v>63</v>
      </c>
      <c r="D58" s="188" t="s">
        <v>352</v>
      </c>
      <c r="E58" s="68">
        <v>3</v>
      </c>
      <c r="F58" s="68" t="s">
        <v>17</v>
      </c>
      <c r="G58" s="68"/>
      <c r="H58" s="68" t="s">
        <v>240</v>
      </c>
      <c r="I58" s="68" t="s">
        <v>322</v>
      </c>
      <c r="J58" s="64" t="s">
        <v>52</v>
      </c>
      <c r="K58" s="8"/>
      <c r="L58" s="43"/>
      <c r="M58" s="8">
        <v>68</v>
      </c>
      <c r="N58" s="66" t="s">
        <v>17</v>
      </c>
      <c r="O58" s="58" t="s">
        <v>107</v>
      </c>
      <c r="P58" s="58"/>
      <c r="Q58" s="58"/>
      <c r="R58" s="58" t="s">
        <v>120</v>
      </c>
      <c r="S58" s="58" t="s">
        <v>107</v>
      </c>
      <c r="T58" s="58" t="s">
        <v>108</v>
      </c>
      <c r="U58" s="58"/>
      <c r="V58" s="187"/>
      <c r="W58" s="170">
        <v>42506</v>
      </c>
      <c r="X58" s="170">
        <v>42537</v>
      </c>
      <c r="AG58" s="4" t="s">
        <v>532</v>
      </c>
    </row>
    <row r="59" spans="1:33" x14ac:dyDescent="0.4">
      <c r="A59" s="177" t="str">
        <f>IF(O59="Planning","Yes",IF(O59="Underway","Yes",IF(P59="Planning","Yes",IF(P59="Underway","Yes",IF(Q59="Planning","Yes",IF(Q59="Underway","Yes",IF(R59="Planning","Yes",IF(R59="Underway","Yes",IF(S59="Planning","Yes",IF(S59="Underway","Yes",IF(T59="Planning","Yes",IF(T59="Underway","Yes",IF(U59="Planning","Yes",IF(U59="Underway","Yes","   "))))))))))))))</f>
        <v xml:space="preserve">   </v>
      </c>
      <c r="B59" s="226" t="s">
        <v>533</v>
      </c>
      <c r="C59" s="70" t="s">
        <v>64</v>
      </c>
      <c r="D59" s="188" t="s">
        <v>355</v>
      </c>
      <c r="E59" s="68">
        <v>3</v>
      </c>
      <c r="F59" s="68" t="s">
        <v>17</v>
      </c>
      <c r="G59" s="68" t="s">
        <v>17</v>
      </c>
      <c r="H59" s="68" t="s">
        <v>240</v>
      </c>
      <c r="I59" s="68"/>
      <c r="J59" s="64" t="s">
        <v>52</v>
      </c>
      <c r="K59" s="8"/>
      <c r="L59" s="43"/>
      <c r="M59" s="8">
        <v>14</v>
      </c>
      <c r="N59" s="66" t="s">
        <v>17</v>
      </c>
      <c r="O59" s="36"/>
      <c r="P59" s="58"/>
      <c r="Q59" s="58"/>
      <c r="R59" s="58"/>
      <c r="S59" s="58"/>
      <c r="T59" s="58"/>
      <c r="U59" s="58"/>
      <c r="V59" s="187"/>
      <c r="AG59" s="4" t="s">
        <v>533</v>
      </c>
    </row>
    <row r="60" spans="1:33" x14ac:dyDescent="0.4">
      <c r="A60" s="177" t="str">
        <f>IF(O60="Planning","Yes",IF(O60="Underway","Yes",IF(P60="Planning","Yes",IF(P60="Underway","Yes",IF(Q60="Planning","Yes",IF(Q60="Underway","Yes",IF(R60="Planning","Yes",IF(R60="Underway","Yes",IF(S60="Planning","Yes",IF(S60="Underway","Yes",IF(T60="Planning","Yes",IF(T60="Underway","Yes",IF(U60="Planning","Yes",IF(U60="Underway","Yes","   "))))))))))))))</f>
        <v xml:space="preserve">   </v>
      </c>
      <c r="B60" s="226" t="e">
        <v>#N/A</v>
      </c>
      <c r="C60" s="62" t="s">
        <v>97</v>
      </c>
      <c r="D60" s="189"/>
      <c r="E60" s="68">
        <v>3</v>
      </c>
      <c r="F60" s="68"/>
      <c r="G60" s="68"/>
      <c r="H60" s="68"/>
      <c r="I60" s="68"/>
      <c r="J60" s="64" t="s">
        <v>52</v>
      </c>
      <c r="K60" s="8"/>
      <c r="L60" s="43"/>
      <c r="M60" s="8"/>
      <c r="N60" s="8"/>
      <c r="O60" s="36"/>
      <c r="P60" s="36"/>
      <c r="Q60" s="36"/>
      <c r="R60" s="36"/>
      <c r="S60" s="36"/>
      <c r="T60" s="36"/>
      <c r="U60" s="58"/>
      <c r="V60" s="187"/>
      <c r="AG60" s="4" t="e">
        <v>#N/A</v>
      </c>
    </row>
    <row r="61" spans="1:33" x14ac:dyDescent="0.4">
      <c r="A61" s="177" t="str">
        <f>IF(O61="Planning","Yes",IF(O61="Underway","Yes",IF(P61="Planning","Yes",IF(P61="Underway","Yes",IF(Q61="Planning","Yes",IF(Q61="Underway","Yes",IF(R61="Planning","Yes",IF(R61="Underway","Yes",IF(S61="Planning","Yes",IF(S61="Underway","Yes",IF(T61="Planning","Yes",IF(T61="Underway","Yes",IF(U61="Planning","Yes",IF(U61="Underway","Yes","   "))))))))))))))</f>
        <v>Yes</v>
      </c>
      <c r="B61" s="226" t="s">
        <v>534</v>
      </c>
      <c r="C61" s="70" t="s">
        <v>65</v>
      </c>
      <c r="D61" s="188" t="s">
        <v>307</v>
      </c>
      <c r="E61" s="68">
        <v>3</v>
      </c>
      <c r="F61" s="68" t="s">
        <v>17</v>
      </c>
      <c r="G61" s="68"/>
      <c r="H61" s="68" t="s">
        <v>240</v>
      </c>
      <c r="I61" s="68" t="s">
        <v>323</v>
      </c>
      <c r="J61" s="64" t="s">
        <v>52</v>
      </c>
      <c r="K61" s="8"/>
      <c r="L61" s="43"/>
      <c r="M61" s="8">
        <v>85</v>
      </c>
      <c r="N61" s="8" t="s">
        <v>17</v>
      </c>
      <c r="O61" s="36" t="s">
        <v>108</v>
      </c>
      <c r="P61" s="58"/>
      <c r="Q61" s="58"/>
      <c r="R61" s="58" t="s">
        <v>107</v>
      </c>
      <c r="S61" s="58" t="s">
        <v>107</v>
      </c>
      <c r="T61" s="58" t="s">
        <v>107</v>
      </c>
      <c r="U61" s="58"/>
      <c r="V61" s="187"/>
      <c r="W61" s="170">
        <v>42476</v>
      </c>
      <c r="X61" s="170">
        <v>42537</v>
      </c>
      <c r="AG61" s="4" t="s">
        <v>534</v>
      </c>
    </row>
    <row r="62" spans="1:33" x14ac:dyDescent="0.4">
      <c r="A62" s="177" t="str">
        <f t="shared" ref="A62:A64" si="4">IF(O62="Planning","Yes",IF(O62="Underway","Yes",IF(P62="Planning","Yes",IF(P62="Underway","Yes",IF(Q62="Planning","Yes",IF(Q62="Underway","Yes",IF(R62="Planning","Yes",IF(R62="Underway","Yes",IF(S62="Planning","Yes",IF(S62="Underway","Yes",IF(T62="Planning","Yes",IF(T62="Underway","Yes",IF(U62="Planning","Yes",IF(U62="Underway","Yes","   "))))))))))))))</f>
        <v xml:space="preserve">   </v>
      </c>
      <c r="B62" s="226" t="s">
        <v>427</v>
      </c>
      <c r="C62" s="70" t="s">
        <v>334</v>
      </c>
      <c r="D62" s="188" t="s">
        <v>294</v>
      </c>
      <c r="E62" s="68">
        <v>3</v>
      </c>
      <c r="F62" s="68"/>
      <c r="G62" s="68"/>
      <c r="H62" s="68" t="s">
        <v>151</v>
      </c>
      <c r="I62" s="68"/>
      <c r="J62" s="64" t="s">
        <v>52</v>
      </c>
      <c r="K62" s="8"/>
      <c r="L62" s="43"/>
      <c r="M62" s="8"/>
      <c r="N62" s="66" t="s">
        <v>241</v>
      </c>
      <c r="O62" s="36"/>
      <c r="P62" s="58"/>
      <c r="Q62" s="58"/>
      <c r="R62" s="58"/>
      <c r="S62" s="58"/>
      <c r="T62" s="58"/>
      <c r="U62" s="58"/>
      <c r="V62" s="187"/>
      <c r="AG62" s="4" t="s">
        <v>427</v>
      </c>
    </row>
    <row r="63" spans="1:33" x14ac:dyDescent="0.4">
      <c r="A63" s="177" t="str">
        <f t="shared" si="4"/>
        <v xml:space="preserve">   </v>
      </c>
      <c r="B63" s="226" t="s">
        <v>428</v>
      </c>
      <c r="C63" s="70" t="s">
        <v>365</v>
      </c>
      <c r="D63" s="188" t="s">
        <v>307</v>
      </c>
      <c r="E63" s="68">
        <v>3</v>
      </c>
      <c r="F63" s="68"/>
      <c r="G63" s="68"/>
      <c r="H63" s="68" t="s">
        <v>151</v>
      </c>
      <c r="I63" s="68"/>
      <c r="J63" s="64" t="s">
        <v>52</v>
      </c>
      <c r="K63" s="8"/>
      <c r="L63" s="43"/>
      <c r="M63" s="8"/>
      <c r="N63" s="8" t="s">
        <v>241</v>
      </c>
      <c r="O63" s="36"/>
      <c r="P63" s="58"/>
      <c r="Q63" s="53"/>
      <c r="R63" s="58"/>
      <c r="S63" s="58"/>
      <c r="T63" s="58"/>
      <c r="U63" s="58"/>
      <c r="V63" s="187"/>
      <c r="AG63" s="4" t="s">
        <v>428</v>
      </c>
    </row>
    <row r="64" spans="1:33" x14ac:dyDescent="0.4">
      <c r="A64" s="177" t="str">
        <f t="shared" si="4"/>
        <v xml:space="preserve">   </v>
      </c>
      <c r="B64" s="226" t="s">
        <v>535</v>
      </c>
      <c r="C64" s="70" t="s">
        <v>69</v>
      </c>
      <c r="D64" s="188"/>
      <c r="E64" s="68">
        <v>3</v>
      </c>
      <c r="F64" s="68"/>
      <c r="G64" s="68"/>
      <c r="H64" s="68" t="s">
        <v>151</v>
      </c>
      <c r="I64" s="68"/>
      <c r="J64" s="64" t="s">
        <v>52</v>
      </c>
      <c r="K64" s="8"/>
      <c r="L64" s="43"/>
      <c r="M64" s="8">
        <v>29</v>
      </c>
      <c r="N64" s="66" t="s">
        <v>17</v>
      </c>
      <c r="O64" s="36"/>
      <c r="P64" s="58"/>
      <c r="Q64" s="58"/>
      <c r="R64" s="58"/>
      <c r="S64" s="58"/>
      <c r="T64" s="58"/>
      <c r="U64" s="58"/>
      <c r="V64" s="187"/>
      <c r="W64" s="170">
        <v>42537</v>
      </c>
      <c r="X64" s="170">
        <v>42537</v>
      </c>
      <c r="AG64" s="4" t="s">
        <v>535</v>
      </c>
    </row>
    <row r="65" spans="1:33" x14ac:dyDescent="0.4">
      <c r="A65" s="177" t="str">
        <f>IF(O65="Planning","Yes",IF(O65="Underway","Yes",IF(P65="Planning","Yes",IF(P65="Underway","Yes",IF(Q65="Planning","Yes",IF(Q65="Underway","Yes",IF(R65="Planning","Yes",IF(R65="Underway","Yes",IF(S65="Planning","Yes",IF(S65="Underway","Yes",IF(T65="Planning","Yes",IF(T65="Underway","Yes",IF(U65="Planning","Yes",IF(U65="Underway","Yes","   "))))))))))))))</f>
        <v>Yes</v>
      </c>
      <c r="B65" s="226" t="s">
        <v>536</v>
      </c>
      <c r="C65" s="70" t="s">
        <v>12</v>
      </c>
      <c r="D65" s="188" t="s">
        <v>306</v>
      </c>
      <c r="E65" s="68">
        <v>3</v>
      </c>
      <c r="F65" s="68" t="s">
        <v>17</v>
      </c>
      <c r="G65" s="68"/>
      <c r="H65" s="68" t="s">
        <v>148</v>
      </c>
      <c r="I65" s="68" t="s">
        <v>322</v>
      </c>
      <c r="J65" s="64" t="s">
        <v>52</v>
      </c>
      <c r="K65" s="8"/>
      <c r="L65" s="43"/>
      <c r="M65" s="8">
        <v>25</v>
      </c>
      <c r="N65" s="66" t="s">
        <v>17</v>
      </c>
      <c r="O65" s="36" t="s">
        <v>120</v>
      </c>
      <c r="P65" s="58"/>
      <c r="Q65" s="53"/>
      <c r="R65" s="58" t="s">
        <v>108</v>
      </c>
      <c r="S65" s="58" t="s">
        <v>108</v>
      </c>
      <c r="T65" s="58" t="s">
        <v>108</v>
      </c>
      <c r="U65" s="58"/>
      <c r="V65" s="187"/>
      <c r="W65" s="170">
        <v>42385</v>
      </c>
      <c r="X65" s="170">
        <v>42476</v>
      </c>
      <c r="AG65" s="4" t="s">
        <v>536</v>
      </c>
    </row>
    <row r="66" spans="1:33" x14ac:dyDescent="0.4">
      <c r="A66" s="177" t="str">
        <f>IF(O66="Planning","Yes",IF(O66="Underway","Yes",IF(P66="Planning","Yes",IF(P66="Underway","Yes",IF(Q66="Planning","Yes",IF(Q66="Underway","Yes",IF(R66="Planning","Yes",IF(R66="Underway","Yes",IF(S66="Planning","Yes",IF(S66="Underway","Yes",IF(T66="Planning","Yes",IF(T66="Underway","Yes",IF(U66="Planning","Yes",IF(U66="Underway","Yes","   "))))))))))))))</f>
        <v>Yes</v>
      </c>
      <c r="B66" s="226" t="s">
        <v>537</v>
      </c>
      <c r="C66" s="70" t="s">
        <v>277</v>
      </c>
      <c r="D66" s="188"/>
      <c r="E66" s="68">
        <v>3</v>
      </c>
      <c r="F66" s="68"/>
      <c r="G66" s="68"/>
      <c r="H66" s="68" t="s">
        <v>151</v>
      </c>
      <c r="I66" s="68"/>
      <c r="J66" s="64" t="s">
        <v>52</v>
      </c>
      <c r="K66" s="8"/>
      <c r="L66" s="43"/>
      <c r="M66" s="8">
        <v>21</v>
      </c>
      <c r="N66" s="66" t="s">
        <v>17</v>
      </c>
      <c r="O66" s="36"/>
      <c r="P66" s="58"/>
      <c r="Q66" s="58"/>
      <c r="R66" s="58" t="s">
        <v>107</v>
      </c>
      <c r="S66" s="58" t="s">
        <v>107</v>
      </c>
      <c r="T66" s="58" t="s">
        <v>107</v>
      </c>
      <c r="U66" s="58"/>
      <c r="V66" s="187"/>
      <c r="W66" s="178">
        <v>42476</v>
      </c>
      <c r="X66" s="170">
        <v>42506</v>
      </c>
      <c r="AG66" s="4" t="s">
        <v>537</v>
      </c>
    </row>
    <row r="67" spans="1:33" x14ac:dyDescent="0.4">
      <c r="A67" s="177" t="str">
        <f>IF(O67="Planning","Yes",IF(O67="Underway","Yes",IF(P67="Planning","Yes",IF(P67="Underway","Yes",IF(Q67="Planning","Yes",IF(Q67="Underway","Yes",IF(R67="Planning","Yes",IF(R67="Underway","Yes",IF(S67="Planning","Yes",IF(S67="Underway","Yes",IF(T67="Planning","Yes",IF(T67="Underway","Yes",IF(U67="Planning","Yes",IF(U67="Underway","Yes","   "))))))))))))))</f>
        <v xml:space="preserve">   </v>
      </c>
      <c r="B67" s="226" t="s">
        <v>538</v>
      </c>
      <c r="C67" s="70" t="s">
        <v>267</v>
      </c>
      <c r="D67" s="188"/>
      <c r="E67" s="68">
        <v>3</v>
      </c>
      <c r="F67" s="68" t="s">
        <v>17</v>
      </c>
      <c r="G67" s="68"/>
      <c r="H67" s="68" t="s">
        <v>240</v>
      </c>
      <c r="I67" s="68"/>
      <c r="J67" s="64" t="s">
        <v>52</v>
      </c>
      <c r="K67" s="8"/>
      <c r="L67" s="43"/>
      <c r="M67" s="8">
        <v>6</v>
      </c>
      <c r="N67" s="66" t="s">
        <v>17</v>
      </c>
      <c r="O67" s="36"/>
      <c r="P67" s="58"/>
      <c r="Q67" s="58"/>
      <c r="R67" s="58"/>
      <c r="S67" s="58"/>
      <c r="T67" s="58"/>
      <c r="U67" s="58"/>
      <c r="V67" s="187" t="s">
        <v>264</v>
      </c>
      <c r="W67" s="178">
        <v>42476</v>
      </c>
      <c r="X67" s="170">
        <v>42506</v>
      </c>
      <c r="AG67" s="4" t="s">
        <v>538</v>
      </c>
    </row>
    <row r="68" spans="1:33" x14ac:dyDescent="0.4">
      <c r="A68" s="177" t="s">
        <v>230</v>
      </c>
      <c r="B68" s="226"/>
      <c r="C68" s="88" t="s">
        <v>126</v>
      </c>
      <c r="D68" s="206"/>
      <c r="E68" s="169">
        <v>4</v>
      </c>
      <c r="F68" s="169"/>
      <c r="G68" s="169"/>
      <c r="H68" s="183"/>
      <c r="I68" s="183"/>
      <c r="J68" s="169" t="s">
        <v>221</v>
      </c>
      <c r="K68" s="8"/>
      <c r="L68" s="43"/>
      <c r="M68" s="8"/>
      <c r="N68" s="182" t="s">
        <v>134</v>
      </c>
      <c r="O68" s="36"/>
      <c r="P68" s="58"/>
      <c r="Q68" s="58"/>
      <c r="R68" s="58"/>
      <c r="S68" s="58"/>
      <c r="T68" s="58"/>
      <c r="U68" s="58"/>
      <c r="V68" s="187"/>
    </row>
    <row r="69" spans="1:33" x14ac:dyDescent="0.4">
      <c r="A69" s="177" t="str">
        <f t="shared" ref="A69:A76" si="5">IF(O69="Planning","Yes",IF(O69="Underway","Yes",IF(P69="Planning","Yes",IF(P69="Underway","Yes",IF(Q69="Planning","Yes",IF(Q69="Underway","Yes",IF(R69="Planning","Yes",IF(R69="Underway","Yes",IF(S69="Planning","Yes",IF(S69="Underway","Yes",IF(T69="Planning","Yes",IF(T69="Underway","Yes",IF(U69="Planning","Yes",IF(U69="Underway","Yes","   "))))))))))))))</f>
        <v xml:space="preserve">   </v>
      </c>
      <c r="B69" s="226" t="e">
        <v>#N/A</v>
      </c>
      <c r="C69" s="228" t="s">
        <v>58</v>
      </c>
      <c r="D69" s="188"/>
      <c r="E69" s="68">
        <v>4</v>
      </c>
      <c r="F69" s="68"/>
      <c r="G69" s="68"/>
      <c r="H69" s="68"/>
      <c r="I69" s="68"/>
      <c r="J69" s="64" t="s">
        <v>53</v>
      </c>
      <c r="K69" s="8"/>
      <c r="L69" s="43"/>
      <c r="M69" s="8">
        <v>3</v>
      </c>
      <c r="N69" s="66"/>
      <c r="O69" s="36"/>
      <c r="P69" s="58"/>
      <c r="Q69" s="58"/>
      <c r="R69" s="58"/>
      <c r="S69" s="58"/>
      <c r="T69" s="58"/>
      <c r="U69" s="58"/>
      <c r="V69" s="187"/>
      <c r="AG69" s="4" t="e">
        <v>#N/A</v>
      </c>
    </row>
    <row r="70" spans="1:33" x14ac:dyDescent="0.4">
      <c r="A70" s="177" t="str">
        <f t="shared" si="5"/>
        <v xml:space="preserve">   </v>
      </c>
      <c r="B70" s="226" t="s">
        <v>422</v>
      </c>
      <c r="C70" s="70" t="s">
        <v>78</v>
      </c>
      <c r="D70" s="188"/>
      <c r="E70" s="68">
        <v>4</v>
      </c>
      <c r="F70" s="68"/>
      <c r="G70" s="68"/>
      <c r="H70" s="68"/>
      <c r="I70" s="68"/>
      <c r="J70" s="64" t="s">
        <v>53</v>
      </c>
      <c r="K70" s="8"/>
      <c r="L70" s="43"/>
      <c r="M70" s="8">
        <v>9</v>
      </c>
      <c r="N70" s="66"/>
      <c r="O70" s="36"/>
      <c r="P70" s="58"/>
      <c r="Q70" s="58"/>
      <c r="R70" s="58"/>
      <c r="S70" s="58"/>
      <c r="T70" s="58"/>
      <c r="U70" s="58"/>
      <c r="V70" s="187"/>
      <c r="AG70" s="4" t="s">
        <v>422</v>
      </c>
    </row>
    <row r="71" spans="1:33" ht="21" customHeight="1" x14ac:dyDescent="0.4">
      <c r="A71" s="177" t="str">
        <f t="shared" si="5"/>
        <v xml:space="preserve">   </v>
      </c>
      <c r="B71" s="226" t="s">
        <v>429</v>
      </c>
      <c r="C71" s="70" t="s">
        <v>59</v>
      </c>
      <c r="D71" s="188" t="s">
        <v>300</v>
      </c>
      <c r="E71" s="68">
        <v>4</v>
      </c>
      <c r="F71" s="68"/>
      <c r="G71" s="68"/>
      <c r="H71" s="68" t="s">
        <v>238</v>
      </c>
      <c r="I71" s="68"/>
      <c r="J71" s="64" t="s">
        <v>53</v>
      </c>
      <c r="K71" s="8"/>
      <c r="L71" s="43"/>
      <c r="M71" s="8">
        <v>16</v>
      </c>
      <c r="N71" s="66" t="s">
        <v>133</v>
      </c>
      <c r="O71" s="36"/>
      <c r="P71" s="58"/>
      <c r="Q71" s="58"/>
      <c r="R71" s="58"/>
      <c r="S71" s="36" t="s">
        <v>120</v>
      </c>
      <c r="T71" s="58"/>
      <c r="U71" s="58"/>
      <c r="V71" s="187"/>
      <c r="AG71" s="4" t="s">
        <v>429</v>
      </c>
    </row>
    <row r="72" spans="1:33" x14ac:dyDescent="0.4">
      <c r="A72" s="177" t="str">
        <f t="shared" si="5"/>
        <v xml:space="preserve">   </v>
      </c>
      <c r="B72" s="226" t="s">
        <v>420</v>
      </c>
      <c r="C72" s="70" t="s">
        <v>79</v>
      </c>
      <c r="D72" s="188"/>
      <c r="E72" s="68">
        <v>4</v>
      </c>
      <c r="F72" s="68"/>
      <c r="G72" s="68"/>
      <c r="H72" s="68" t="s">
        <v>149</v>
      </c>
      <c r="I72" s="68"/>
      <c r="J72" s="64" t="s">
        <v>53</v>
      </c>
      <c r="K72" s="8"/>
      <c r="L72" s="43"/>
      <c r="M72" s="8">
        <v>3</v>
      </c>
      <c r="N72" s="66" t="s">
        <v>17</v>
      </c>
      <c r="O72" s="36"/>
      <c r="P72" s="58"/>
      <c r="Q72" s="58"/>
      <c r="R72" s="58"/>
      <c r="S72" s="58"/>
      <c r="T72" s="58"/>
      <c r="U72" s="58"/>
      <c r="V72" s="187"/>
      <c r="AG72" s="4" t="s">
        <v>420</v>
      </c>
    </row>
    <row r="73" spans="1:33" x14ac:dyDescent="0.4">
      <c r="A73" s="177" t="str">
        <f t="shared" si="5"/>
        <v xml:space="preserve">   </v>
      </c>
      <c r="B73" s="226" t="s">
        <v>430</v>
      </c>
      <c r="C73" s="70" t="s">
        <v>66</v>
      </c>
      <c r="D73" s="188"/>
      <c r="E73" s="68">
        <v>4</v>
      </c>
      <c r="F73" s="68"/>
      <c r="G73" s="68"/>
      <c r="H73" s="68"/>
      <c r="I73" s="68"/>
      <c r="J73" s="64" t="s">
        <v>53</v>
      </c>
      <c r="K73" s="8"/>
      <c r="L73" s="43"/>
      <c r="M73" s="8">
        <v>1</v>
      </c>
      <c r="N73" s="66"/>
      <c r="O73" s="36"/>
      <c r="P73" s="58"/>
      <c r="Q73" s="58"/>
      <c r="R73" s="58"/>
      <c r="S73" s="58"/>
      <c r="T73" s="58"/>
      <c r="U73" s="58"/>
      <c r="V73" s="187"/>
      <c r="AG73" s="4" t="s">
        <v>430</v>
      </c>
    </row>
    <row r="74" spans="1:33" ht="42" x14ac:dyDescent="0.4">
      <c r="A74" s="177" t="str">
        <f t="shared" si="5"/>
        <v xml:space="preserve">   </v>
      </c>
      <c r="B74" s="226" t="s">
        <v>431</v>
      </c>
      <c r="C74" s="70" t="s">
        <v>190</v>
      </c>
      <c r="D74" s="188" t="s">
        <v>309</v>
      </c>
      <c r="E74" s="68">
        <v>4</v>
      </c>
      <c r="F74" s="68"/>
      <c r="G74" s="68"/>
      <c r="H74" s="68" t="s">
        <v>238</v>
      </c>
      <c r="I74" s="68"/>
      <c r="J74" s="64" t="s">
        <v>53</v>
      </c>
      <c r="K74" s="8"/>
      <c r="L74" s="43"/>
      <c r="M74" s="8">
        <v>9</v>
      </c>
      <c r="N74" s="66" t="s">
        <v>17</v>
      </c>
      <c r="O74" s="36"/>
      <c r="P74" s="58"/>
      <c r="Q74" s="58"/>
      <c r="R74" s="58" t="s">
        <v>120</v>
      </c>
      <c r="S74" s="58" t="s">
        <v>120</v>
      </c>
      <c r="T74" s="58" t="s">
        <v>120</v>
      </c>
      <c r="U74" s="58"/>
      <c r="V74" s="187"/>
      <c r="AG74" s="4" t="s">
        <v>431</v>
      </c>
    </row>
    <row r="75" spans="1:33" x14ac:dyDescent="0.4">
      <c r="A75" s="177" t="str">
        <f t="shared" si="5"/>
        <v xml:space="preserve">   </v>
      </c>
      <c r="B75" s="226" t="s">
        <v>416</v>
      </c>
      <c r="C75" s="70" t="s">
        <v>67</v>
      </c>
      <c r="D75" s="188"/>
      <c r="E75" s="68">
        <v>4</v>
      </c>
      <c r="F75" s="68"/>
      <c r="G75" s="68"/>
      <c r="H75" s="68"/>
      <c r="I75" s="68"/>
      <c r="J75" s="64" t="s">
        <v>53</v>
      </c>
      <c r="K75" s="8"/>
      <c r="L75" s="43"/>
      <c r="M75" s="8">
        <v>25</v>
      </c>
      <c r="N75" s="66"/>
      <c r="O75" s="36"/>
      <c r="P75" s="58"/>
      <c r="Q75" s="58"/>
      <c r="R75" s="58"/>
      <c r="S75" s="58"/>
      <c r="T75" s="58"/>
      <c r="U75" s="58"/>
      <c r="V75" s="187"/>
      <c r="AG75" s="4" t="s">
        <v>416</v>
      </c>
    </row>
    <row r="76" spans="1:33" x14ac:dyDescent="0.4">
      <c r="A76" s="177" t="str">
        <f t="shared" si="5"/>
        <v xml:space="preserve">   </v>
      </c>
      <c r="B76" s="226" t="e">
        <v>#N/A</v>
      </c>
      <c r="C76" s="228" t="s">
        <v>98</v>
      </c>
      <c r="D76" s="188"/>
      <c r="E76" s="68">
        <v>4</v>
      </c>
      <c r="F76" s="68"/>
      <c r="G76" s="68"/>
      <c r="H76" s="68" t="s">
        <v>151</v>
      </c>
      <c r="I76" s="68"/>
      <c r="J76" s="64" t="s">
        <v>53</v>
      </c>
      <c r="K76" s="8"/>
      <c r="L76" s="43"/>
      <c r="M76" s="8">
        <v>1</v>
      </c>
      <c r="N76" s="66"/>
      <c r="O76" s="36"/>
      <c r="P76" s="58"/>
      <c r="Q76" s="58"/>
      <c r="R76" s="58"/>
      <c r="S76" s="58"/>
      <c r="T76" s="58"/>
      <c r="U76" s="58"/>
      <c r="V76" s="187"/>
      <c r="W76" s="170">
        <v>42506</v>
      </c>
      <c r="X76" s="170">
        <v>42537</v>
      </c>
      <c r="AG76" s="4" t="e">
        <v>#N/A</v>
      </c>
    </row>
    <row r="77" spans="1:33" x14ac:dyDescent="0.4">
      <c r="A77" s="177" t="s">
        <v>230</v>
      </c>
      <c r="B77" s="226"/>
      <c r="C77" s="88" t="s">
        <v>127</v>
      </c>
      <c r="D77" s="206"/>
      <c r="E77" s="169">
        <v>5</v>
      </c>
      <c r="F77" s="169"/>
      <c r="G77" s="169"/>
      <c r="H77" s="183"/>
      <c r="I77" s="183"/>
      <c r="J77" s="169" t="s">
        <v>221</v>
      </c>
      <c r="K77" s="8"/>
      <c r="L77" s="43"/>
      <c r="M77" s="8"/>
      <c r="N77" s="182" t="s">
        <v>134</v>
      </c>
      <c r="O77" s="36"/>
      <c r="P77" s="58"/>
      <c r="Q77" s="58"/>
      <c r="R77" s="58"/>
      <c r="S77" s="58"/>
      <c r="T77" s="58"/>
      <c r="U77" s="58"/>
      <c r="V77" s="187"/>
    </row>
    <row r="78" spans="1:33" x14ac:dyDescent="0.4">
      <c r="A78" s="177" t="str">
        <f t="shared" ref="A78:A97" si="6">IF(O78="Planning","Yes",IF(O78="Underway","Yes",IF(P78="Planning","Yes",IF(P78="Underway","Yes",IF(Q78="Planning","Yes",IF(Q78="Underway","Yes",IF(R78="Planning","Yes",IF(R78="Underway","Yes",IF(S78="Planning","Yes",IF(S78="Underway","Yes",IF(T78="Planning","Yes",IF(T78="Underway","Yes",IF(U78="Planning","Yes",IF(U78="Underway","Yes","   "))))))))))))))</f>
        <v xml:space="preserve">   </v>
      </c>
      <c r="B78" s="226" t="s">
        <v>539</v>
      </c>
      <c r="C78" s="179" t="s">
        <v>432</v>
      </c>
      <c r="D78" s="188"/>
      <c r="E78" s="63">
        <v>5</v>
      </c>
      <c r="F78" s="169"/>
      <c r="G78" s="169"/>
      <c r="H78" s="182" t="s">
        <v>151</v>
      </c>
      <c r="I78" s="182"/>
      <c r="J78" s="64" t="s">
        <v>27</v>
      </c>
      <c r="K78" s="8"/>
      <c r="L78" s="43"/>
      <c r="M78" s="8"/>
      <c r="N78" s="66" t="s">
        <v>133</v>
      </c>
      <c r="O78" s="36"/>
      <c r="P78" s="58"/>
      <c r="Q78" s="58"/>
      <c r="R78" s="58"/>
      <c r="S78" s="58"/>
      <c r="T78" s="58"/>
      <c r="U78" s="58"/>
      <c r="V78" s="187"/>
      <c r="AG78" s="4" t="s">
        <v>539</v>
      </c>
    </row>
    <row r="79" spans="1:33" x14ac:dyDescent="0.4">
      <c r="A79" s="177" t="str">
        <f t="shared" si="6"/>
        <v xml:space="preserve">   </v>
      </c>
      <c r="B79" s="226" t="s">
        <v>540</v>
      </c>
      <c r="C79" s="179" t="s">
        <v>242</v>
      </c>
      <c r="D79" s="188" t="s">
        <v>303</v>
      </c>
      <c r="E79" s="63">
        <v>5</v>
      </c>
      <c r="F79" s="169"/>
      <c r="G79" s="169"/>
      <c r="H79" s="182" t="s">
        <v>151</v>
      </c>
      <c r="I79" s="182"/>
      <c r="J79" s="64" t="s">
        <v>27</v>
      </c>
      <c r="K79" s="8"/>
      <c r="L79" s="43"/>
      <c r="M79" s="8"/>
      <c r="N79" s="66" t="s">
        <v>133</v>
      </c>
      <c r="O79" s="36"/>
      <c r="P79" s="58"/>
      <c r="Q79" s="58"/>
      <c r="R79" s="58"/>
      <c r="S79" s="58"/>
      <c r="T79" s="58"/>
      <c r="U79" s="58"/>
      <c r="V79" s="187"/>
      <c r="AG79" s="4" t="s">
        <v>540</v>
      </c>
    </row>
    <row r="80" spans="1:33" x14ac:dyDescent="0.4">
      <c r="A80" s="177" t="str">
        <f t="shared" si="6"/>
        <v>Yes</v>
      </c>
      <c r="B80" s="226" t="s">
        <v>541</v>
      </c>
      <c r="C80" s="179" t="s">
        <v>433</v>
      </c>
      <c r="D80" s="188"/>
      <c r="E80" s="63">
        <v>5</v>
      </c>
      <c r="F80" s="169"/>
      <c r="G80" s="169"/>
      <c r="H80" s="182" t="s">
        <v>151</v>
      </c>
      <c r="I80" s="182"/>
      <c r="J80" s="64" t="s">
        <v>27</v>
      </c>
      <c r="K80" s="8"/>
      <c r="L80" s="43"/>
      <c r="M80" s="8"/>
      <c r="N80" s="182" t="s">
        <v>17</v>
      </c>
      <c r="O80" s="36"/>
      <c r="P80" s="58"/>
      <c r="Q80" s="58"/>
      <c r="R80" s="58"/>
      <c r="S80" s="58" t="s">
        <v>108</v>
      </c>
      <c r="T80" s="58"/>
      <c r="U80" s="58"/>
      <c r="V80" s="187"/>
      <c r="AG80" s="4" t="s">
        <v>541</v>
      </c>
    </row>
    <row r="81" spans="1:33" x14ac:dyDescent="0.4">
      <c r="A81" s="177" t="str">
        <f t="shared" si="6"/>
        <v>Yes</v>
      </c>
      <c r="B81" s="226" t="s">
        <v>434</v>
      </c>
      <c r="C81" s="62" t="s">
        <v>205</v>
      </c>
      <c r="D81" s="189"/>
      <c r="E81" s="63">
        <v>5</v>
      </c>
      <c r="F81" s="63"/>
      <c r="G81" s="63"/>
      <c r="H81" s="63" t="s">
        <v>151</v>
      </c>
      <c r="I81" s="63"/>
      <c r="J81" s="64" t="s">
        <v>27</v>
      </c>
      <c r="K81" s="8"/>
      <c r="L81" s="43"/>
      <c r="M81" s="8"/>
      <c r="N81" s="8" t="s">
        <v>17</v>
      </c>
      <c r="O81" s="36"/>
      <c r="P81" s="58"/>
      <c r="Q81" s="58"/>
      <c r="R81" s="58" t="s">
        <v>107</v>
      </c>
      <c r="S81" s="58" t="s">
        <v>107</v>
      </c>
      <c r="T81" s="58" t="s">
        <v>107</v>
      </c>
      <c r="U81" s="58"/>
      <c r="V81" s="187" t="s">
        <v>312</v>
      </c>
      <c r="AG81" s="4" t="s">
        <v>434</v>
      </c>
    </row>
    <row r="82" spans="1:33" x14ac:dyDescent="0.4">
      <c r="A82" s="177" t="str">
        <f t="shared" si="6"/>
        <v xml:space="preserve">   </v>
      </c>
      <c r="B82" s="226" t="s">
        <v>542</v>
      </c>
      <c r="C82" s="62" t="s">
        <v>206</v>
      </c>
      <c r="D82" s="189"/>
      <c r="E82" s="63">
        <v>5</v>
      </c>
      <c r="F82" s="63"/>
      <c r="G82" s="63"/>
      <c r="H82" s="63" t="s">
        <v>151</v>
      </c>
      <c r="I82" s="63"/>
      <c r="J82" s="64" t="s">
        <v>27</v>
      </c>
      <c r="K82" s="8"/>
      <c r="L82" s="43"/>
      <c r="M82" s="8"/>
      <c r="N82" s="8" t="s">
        <v>17</v>
      </c>
      <c r="O82" s="36"/>
      <c r="P82" s="58"/>
      <c r="Q82" s="58"/>
      <c r="R82" s="58"/>
      <c r="S82" s="58"/>
      <c r="T82" s="58"/>
      <c r="U82" s="58"/>
      <c r="V82" s="187" t="s">
        <v>264</v>
      </c>
      <c r="AG82" s="4" t="s">
        <v>542</v>
      </c>
    </row>
    <row r="83" spans="1:33" x14ac:dyDescent="0.4">
      <c r="A83" s="177" t="str">
        <f t="shared" si="6"/>
        <v>Yes</v>
      </c>
      <c r="B83" s="226" t="s">
        <v>543</v>
      </c>
      <c r="C83" s="62" t="s">
        <v>207</v>
      </c>
      <c r="D83" s="189" t="s">
        <v>299</v>
      </c>
      <c r="E83" s="63">
        <v>5</v>
      </c>
      <c r="F83" s="63"/>
      <c r="G83" s="63"/>
      <c r="H83" s="63" t="s">
        <v>151</v>
      </c>
      <c r="I83" s="63"/>
      <c r="J83" s="64" t="s">
        <v>27</v>
      </c>
      <c r="K83" s="8"/>
      <c r="L83" s="43"/>
      <c r="M83" s="8"/>
      <c r="N83" s="8" t="s">
        <v>17</v>
      </c>
      <c r="O83" s="36"/>
      <c r="P83" s="58"/>
      <c r="Q83" s="58"/>
      <c r="R83" s="58" t="s">
        <v>107</v>
      </c>
      <c r="S83" s="58" t="s">
        <v>107</v>
      </c>
      <c r="T83" s="58" t="s">
        <v>107</v>
      </c>
      <c r="U83" s="58"/>
      <c r="V83" s="187"/>
      <c r="AG83" s="4" t="s">
        <v>543</v>
      </c>
    </row>
    <row r="84" spans="1:33" x14ac:dyDescent="0.4">
      <c r="A84" s="177" t="str">
        <f>IF(O84="Planning","Yes",IF(O84="Underway","Yes",IF(P84="Planning","Yes",IF(P84="Underway","Yes",IF(Q84="Planning","Yes",IF(Q84="Underway","Yes",IF(R84="Planning","Yes",IF(R84="Underway","Yes",IF(S84="Planning","Yes",IF(S84="Underway","Yes",IF(T84="Planning","Yes",IF(T84="Underway","Yes",IF(U84="Planning","Yes",IF(U84="Underway","Yes","   "))))))))))))))</f>
        <v xml:space="preserve">   </v>
      </c>
      <c r="B84" s="226" t="s">
        <v>435</v>
      </c>
      <c r="C84" s="62" t="s">
        <v>253</v>
      </c>
      <c r="D84" s="189" t="s">
        <v>356</v>
      </c>
      <c r="E84" s="63">
        <v>5</v>
      </c>
      <c r="F84" s="63" t="s">
        <v>17</v>
      </c>
      <c r="G84" s="63"/>
      <c r="H84" s="63" t="s">
        <v>240</v>
      </c>
      <c r="I84" s="63"/>
      <c r="J84" s="64" t="s">
        <v>27</v>
      </c>
      <c r="K84" s="8"/>
      <c r="L84" s="43"/>
      <c r="M84" s="8"/>
      <c r="N84" s="8" t="s">
        <v>241</v>
      </c>
      <c r="O84" s="36"/>
      <c r="P84" s="58"/>
      <c r="Q84" s="58"/>
      <c r="R84" s="58"/>
      <c r="S84" s="58"/>
      <c r="T84" s="58"/>
      <c r="U84" s="58"/>
      <c r="V84" s="187"/>
      <c r="AG84" s="4" t="s">
        <v>435</v>
      </c>
    </row>
    <row r="85" spans="1:33" x14ac:dyDescent="0.4">
      <c r="A85" s="177" t="str">
        <f>IF(O85="Planning","Yes",IF(O85="Underway","Yes",IF(P85="Planning","Yes",IF(P85="Underway","Yes",IF(Q85="Planning","Yes",IF(Q85="Underway","Yes",IF(R85="Planning","Yes",IF(R85="Underway","Yes",IF(S85="Planning","Yes",IF(S85="Underway","Yes",IF(T85="Planning","Yes",IF(T85="Underway","Yes",IF(U85="Planning","Yes",IF(U85="Underway","Yes","   "))))))))))))))</f>
        <v xml:space="preserve">   </v>
      </c>
      <c r="B85" s="226" t="s">
        <v>544</v>
      </c>
      <c r="C85" s="62" t="s">
        <v>124</v>
      </c>
      <c r="D85" s="189"/>
      <c r="E85" s="63">
        <v>5</v>
      </c>
      <c r="F85" s="63"/>
      <c r="G85" s="63"/>
      <c r="H85" s="63" t="s">
        <v>151</v>
      </c>
      <c r="I85" s="63"/>
      <c r="J85" s="64" t="s">
        <v>27</v>
      </c>
      <c r="K85" s="8"/>
      <c r="L85" s="43"/>
      <c r="M85" s="8"/>
      <c r="N85" s="8" t="s">
        <v>17</v>
      </c>
      <c r="O85" s="36"/>
      <c r="P85" s="58"/>
      <c r="Q85" s="58"/>
      <c r="R85" s="58"/>
      <c r="S85" s="58"/>
      <c r="T85" s="58"/>
      <c r="U85" s="58"/>
      <c r="V85" s="187"/>
      <c r="AG85" s="4" t="s">
        <v>544</v>
      </c>
    </row>
    <row r="86" spans="1:33" x14ac:dyDescent="0.4">
      <c r="A86" s="177" t="str">
        <f t="shared" si="6"/>
        <v xml:space="preserve">   </v>
      </c>
      <c r="B86" s="226" t="s">
        <v>436</v>
      </c>
      <c r="C86" s="62" t="s">
        <v>324</v>
      </c>
      <c r="D86" s="189" t="s">
        <v>325</v>
      </c>
      <c r="E86" s="63">
        <v>5</v>
      </c>
      <c r="F86" s="63"/>
      <c r="G86" s="63"/>
      <c r="H86" s="63" t="s">
        <v>151</v>
      </c>
      <c r="I86" s="63"/>
      <c r="J86" s="64" t="s">
        <v>27</v>
      </c>
      <c r="K86" s="8"/>
      <c r="L86" s="43"/>
      <c r="M86" s="8"/>
      <c r="N86" s="8" t="s">
        <v>241</v>
      </c>
      <c r="O86" s="36"/>
      <c r="P86" s="58"/>
      <c r="Q86" s="58"/>
      <c r="R86" s="58"/>
      <c r="S86" s="58"/>
      <c r="T86" s="58"/>
      <c r="U86" s="58"/>
      <c r="V86" s="187"/>
      <c r="AG86" s="4" t="s">
        <v>436</v>
      </c>
    </row>
    <row r="87" spans="1:33" x14ac:dyDescent="0.4">
      <c r="A87" s="177" t="str">
        <f t="shared" si="6"/>
        <v>Yes</v>
      </c>
      <c r="B87" s="226" t="s">
        <v>437</v>
      </c>
      <c r="C87" s="227" t="s">
        <v>35</v>
      </c>
      <c r="D87" s="189" t="s">
        <v>300</v>
      </c>
      <c r="E87" s="63">
        <v>5</v>
      </c>
      <c r="F87" s="63"/>
      <c r="G87" s="63"/>
      <c r="H87" s="63" t="s">
        <v>149</v>
      </c>
      <c r="I87" s="63"/>
      <c r="J87" s="64" t="s">
        <v>27</v>
      </c>
      <c r="K87" s="8"/>
      <c r="L87" s="43"/>
      <c r="M87" s="8">
        <v>1100</v>
      </c>
      <c r="N87" s="8" t="s">
        <v>133</v>
      </c>
      <c r="O87" s="36" t="s">
        <v>107</v>
      </c>
      <c r="P87" s="58"/>
      <c r="Q87" s="53"/>
      <c r="R87" s="53"/>
      <c r="S87" s="53"/>
      <c r="T87" s="58"/>
      <c r="U87" s="58"/>
      <c r="V87" s="187"/>
      <c r="AG87" s="4" t="s">
        <v>437</v>
      </c>
    </row>
    <row r="88" spans="1:33" x14ac:dyDescent="0.4">
      <c r="A88" s="177" t="str">
        <f t="shared" si="6"/>
        <v>Yes</v>
      </c>
      <c r="B88" s="226" t="s">
        <v>439</v>
      </c>
      <c r="C88" s="62" t="s">
        <v>438</v>
      </c>
      <c r="D88" s="189" t="s">
        <v>296</v>
      </c>
      <c r="E88" s="63">
        <v>5</v>
      </c>
      <c r="F88" s="63"/>
      <c r="G88" s="63"/>
      <c r="H88" s="63" t="s">
        <v>149</v>
      </c>
      <c r="I88" s="63"/>
      <c r="J88" s="64" t="s">
        <v>27</v>
      </c>
      <c r="K88" s="8"/>
      <c r="L88" s="43"/>
      <c r="M88" s="8"/>
      <c r="N88" s="8" t="s">
        <v>17</v>
      </c>
      <c r="O88" s="36" t="s">
        <v>108</v>
      </c>
      <c r="P88" s="58"/>
      <c r="Q88" s="53" t="s">
        <v>108</v>
      </c>
      <c r="R88" s="53" t="s">
        <v>107</v>
      </c>
      <c r="S88" s="53"/>
      <c r="T88" s="58"/>
      <c r="U88" s="58"/>
      <c r="V88" s="187"/>
      <c r="AG88" s="4" t="s">
        <v>439</v>
      </c>
    </row>
    <row r="89" spans="1:33" x14ac:dyDescent="0.4">
      <c r="A89" s="177" t="str">
        <f t="shared" si="6"/>
        <v xml:space="preserve">   </v>
      </c>
      <c r="B89" s="226" t="s">
        <v>545</v>
      </c>
      <c r="C89" s="62" t="s">
        <v>208</v>
      </c>
      <c r="D89" s="189"/>
      <c r="E89" s="63">
        <v>5</v>
      </c>
      <c r="F89" s="63"/>
      <c r="G89" s="63"/>
      <c r="H89" s="63" t="s">
        <v>151</v>
      </c>
      <c r="I89" s="63"/>
      <c r="J89" s="64" t="s">
        <v>27</v>
      </c>
      <c r="K89" s="8"/>
      <c r="L89" s="43"/>
      <c r="M89" s="8"/>
      <c r="N89" s="8" t="s">
        <v>17</v>
      </c>
      <c r="O89" s="36"/>
      <c r="P89" s="58"/>
      <c r="Q89" s="58"/>
      <c r="R89" s="58"/>
      <c r="S89" s="58"/>
      <c r="T89" s="58"/>
      <c r="U89" s="58"/>
      <c r="V89" s="187" t="s">
        <v>264</v>
      </c>
      <c r="AG89" s="4" t="s">
        <v>545</v>
      </c>
    </row>
    <row r="90" spans="1:33" x14ac:dyDescent="0.4">
      <c r="A90" s="177" t="str">
        <f t="shared" si="6"/>
        <v>Yes</v>
      </c>
      <c r="B90" s="226" t="s">
        <v>440</v>
      </c>
      <c r="C90" s="62" t="s">
        <v>271</v>
      </c>
      <c r="D90" s="189"/>
      <c r="E90" s="63">
        <v>5</v>
      </c>
      <c r="F90" s="63"/>
      <c r="G90" s="63"/>
      <c r="H90" s="63" t="s">
        <v>151</v>
      </c>
      <c r="I90" s="63"/>
      <c r="J90" s="64" t="s">
        <v>27</v>
      </c>
      <c r="K90" s="8"/>
      <c r="L90" s="43"/>
      <c r="M90" s="8"/>
      <c r="N90" s="8" t="s">
        <v>17</v>
      </c>
      <c r="O90" s="36"/>
      <c r="P90" s="58"/>
      <c r="Q90" s="58"/>
      <c r="R90" s="58" t="s">
        <v>107</v>
      </c>
      <c r="S90" s="58" t="s">
        <v>107</v>
      </c>
      <c r="T90" s="58" t="s">
        <v>107</v>
      </c>
      <c r="U90" s="58"/>
      <c r="V90" s="187"/>
      <c r="AG90" s="4" t="s">
        <v>440</v>
      </c>
    </row>
    <row r="91" spans="1:33" x14ac:dyDescent="0.4">
      <c r="A91" s="177" t="str">
        <f t="shared" si="6"/>
        <v xml:space="preserve">   </v>
      </c>
      <c r="B91" s="226" t="s">
        <v>441</v>
      </c>
      <c r="C91" s="62" t="s">
        <v>129</v>
      </c>
      <c r="D91" s="189" t="s">
        <v>300</v>
      </c>
      <c r="E91" s="63">
        <v>5</v>
      </c>
      <c r="F91" s="63"/>
      <c r="G91" s="63"/>
      <c r="H91" s="63" t="s">
        <v>148</v>
      </c>
      <c r="I91" s="63"/>
      <c r="J91" s="64" t="s">
        <v>27</v>
      </c>
      <c r="K91" s="8"/>
      <c r="L91" s="43"/>
      <c r="M91" s="8">
        <v>80</v>
      </c>
      <c r="N91" s="8" t="s">
        <v>133</v>
      </c>
      <c r="O91" s="58"/>
      <c r="P91" s="58"/>
      <c r="Q91" s="55"/>
      <c r="R91" s="55"/>
      <c r="S91" s="55"/>
      <c r="T91" s="58"/>
      <c r="U91" s="58"/>
      <c r="V91" s="187"/>
      <c r="AG91" s="4" t="s">
        <v>441</v>
      </c>
    </row>
    <row r="92" spans="1:33" x14ac:dyDescent="0.4">
      <c r="A92" s="177" t="str">
        <f t="shared" si="6"/>
        <v xml:space="preserve">   </v>
      </c>
      <c r="B92" s="226" t="e">
        <v>#N/A</v>
      </c>
      <c r="C92" s="227" t="s">
        <v>366</v>
      </c>
      <c r="D92" s="189"/>
      <c r="E92" s="63">
        <v>5</v>
      </c>
      <c r="F92" s="63"/>
      <c r="G92" s="63"/>
      <c r="H92" s="63" t="s">
        <v>151</v>
      </c>
      <c r="I92" s="63"/>
      <c r="J92" s="64" t="s">
        <v>27</v>
      </c>
      <c r="K92" s="8"/>
      <c r="L92" s="43"/>
      <c r="M92" s="8"/>
      <c r="N92" s="8" t="s">
        <v>241</v>
      </c>
      <c r="O92" s="58"/>
      <c r="P92" s="58"/>
      <c r="Q92" s="55"/>
      <c r="R92" s="55"/>
      <c r="S92" s="55"/>
      <c r="T92" s="58"/>
      <c r="U92" s="58"/>
      <c r="V92" s="187"/>
      <c r="AG92" s="4" t="e">
        <v>#N/A</v>
      </c>
    </row>
    <row r="93" spans="1:33" x14ac:dyDescent="0.4">
      <c r="A93" s="177" t="str">
        <f t="shared" si="6"/>
        <v xml:space="preserve">   </v>
      </c>
      <c r="B93" s="226" t="s">
        <v>442</v>
      </c>
      <c r="C93" s="62" t="s">
        <v>285</v>
      </c>
      <c r="D93" s="189"/>
      <c r="E93" s="63">
        <v>5</v>
      </c>
      <c r="F93" s="63"/>
      <c r="G93" s="63"/>
      <c r="H93" s="63" t="s">
        <v>149</v>
      </c>
      <c r="I93" s="63"/>
      <c r="J93" s="64" t="s">
        <v>27</v>
      </c>
      <c r="K93" s="8"/>
      <c r="L93" s="43"/>
      <c r="M93" s="8"/>
      <c r="N93" s="8" t="s">
        <v>241</v>
      </c>
      <c r="O93" s="58"/>
      <c r="P93" s="58"/>
      <c r="Q93" s="55"/>
      <c r="R93" s="55"/>
      <c r="S93" s="55"/>
      <c r="T93" s="58"/>
      <c r="U93" s="58"/>
      <c r="V93" s="187"/>
      <c r="AG93" s="4" t="s">
        <v>442</v>
      </c>
    </row>
    <row r="94" spans="1:33" x14ac:dyDescent="0.4">
      <c r="A94" s="177" t="str">
        <f t="shared" si="6"/>
        <v>Yes</v>
      </c>
      <c r="B94" s="226" t="s">
        <v>546</v>
      </c>
      <c r="C94" s="62" t="s">
        <v>319</v>
      </c>
      <c r="D94" s="189"/>
      <c r="E94" s="63">
        <v>5</v>
      </c>
      <c r="F94" s="63"/>
      <c r="G94" s="63"/>
      <c r="H94" s="63" t="s">
        <v>151</v>
      </c>
      <c r="I94" s="63"/>
      <c r="J94" s="64" t="s">
        <v>27</v>
      </c>
      <c r="K94" s="8"/>
      <c r="L94" s="43"/>
      <c r="M94" s="8"/>
      <c r="N94" s="8" t="s">
        <v>17</v>
      </c>
      <c r="O94" s="58"/>
      <c r="P94" s="58"/>
      <c r="Q94" s="55"/>
      <c r="R94" s="58" t="s">
        <v>107</v>
      </c>
      <c r="S94" s="58" t="s">
        <v>107</v>
      </c>
      <c r="T94" s="58" t="s">
        <v>107</v>
      </c>
      <c r="U94" s="58"/>
      <c r="V94" s="187"/>
      <c r="AG94" s="4" t="s">
        <v>546</v>
      </c>
    </row>
    <row r="95" spans="1:33" x14ac:dyDescent="0.4">
      <c r="A95" s="177" t="str">
        <f t="shared" si="6"/>
        <v xml:space="preserve">   </v>
      </c>
      <c r="B95" s="226" t="s">
        <v>443</v>
      </c>
      <c r="C95" s="62" t="s">
        <v>257</v>
      </c>
      <c r="D95" s="189"/>
      <c r="E95" s="63">
        <v>5</v>
      </c>
      <c r="F95" s="63"/>
      <c r="G95" s="63"/>
      <c r="H95" s="63" t="s">
        <v>151</v>
      </c>
      <c r="I95" s="63"/>
      <c r="J95" s="64" t="s">
        <v>27</v>
      </c>
      <c r="K95" s="8"/>
      <c r="L95" s="43"/>
      <c r="M95" s="8"/>
      <c r="N95" s="8" t="s">
        <v>241</v>
      </c>
      <c r="O95" s="58"/>
      <c r="P95" s="58"/>
      <c r="Q95" s="55"/>
      <c r="R95" s="55"/>
      <c r="S95" s="55"/>
      <c r="T95" s="58"/>
      <c r="U95" s="58"/>
      <c r="V95" s="187"/>
      <c r="AG95" s="4" t="s">
        <v>443</v>
      </c>
    </row>
    <row r="96" spans="1:33" x14ac:dyDescent="0.4">
      <c r="A96" s="177" t="str">
        <f t="shared" si="6"/>
        <v xml:space="preserve">   </v>
      </c>
      <c r="B96" s="226" t="e">
        <v>#N/A</v>
      </c>
      <c r="C96" s="62" t="s">
        <v>170</v>
      </c>
      <c r="D96" s="189"/>
      <c r="E96" s="63">
        <v>5</v>
      </c>
      <c r="F96" s="63"/>
      <c r="G96" s="63"/>
      <c r="H96" s="63" t="s">
        <v>151</v>
      </c>
      <c r="I96" s="63"/>
      <c r="J96" s="64" t="s">
        <v>27</v>
      </c>
      <c r="K96" s="8"/>
      <c r="L96" s="43"/>
      <c r="M96" s="8"/>
      <c r="N96" s="8" t="s">
        <v>17</v>
      </c>
      <c r="O96" s="58"/>
      <c r="P96" s="58"/>
      <c r="Q96" s="55"/>
      <c r="R96" s="55"/>
      <c r="S96" s="55" t="s">
        <v>120</v>
      </c>
      <c r="T96" s="58"/>
      <c r="U96" s="58"/>
      <c r="V96" s="187"/>
      <c r="AG96" s="4" t="e">
        <v>#N/A</v>
      </c>
    </row>
    <row r="97" spans="1:33" x14ac:dyDescent="0.4">
      <c r="A97" s="177" t="str">
        <f t="shared" si="6"/>
        <v xml:space="preserve">   </v>
      </c>
      <c r="B97" s="226" t="s">
        <v>444</v>
      </c>
      <c r="C97" s="62" t="s">
        <v>380</v>
      </c>
      <c r="D97" s="189" t="s">
        <v>294</v>
      </c>
      <c r="E97" s="63">
        <v>5</v>
      </c>
      <c r="F97" s="63"/>
      <c r="G97" s="63"/>
      <c r="H97" s="63" t="s">
        <v>151</v>
      </c>
      <c r="I97" s="63"/>
      <c r="J97" s="64" t="s">
        <v>27</v>
      </c>
      <c r="K97" s="8"/>
      <c r="L97" s="43"/>
      <c r="M97" s="8"/>
      <c r="N97" s="8" t="s">
        <v>241</v>
      </c>
      <c r="O97" s="58"/>
      <c r="P97" s="58"/>
      <c r="Q97" s="55"/>
      <c r="R97" s="55"/>
      <c r="S97" s="55"/>
      <c r="T97" s="58"/>
      <c r="U97" s="58"/>
      <c r="V97" s="187"/>
      <c r="AG97" s="4" t="s">
        <v>444</v>
      </c>
    </row>
    <row r="98" spans="1:33" x14ac:dyDescent="0.4">
      <c r="A98" s="177" t="str">
        <f>IF(O98="Planning","Yes",IF(O98="Underway","Yes",IF(P98="Planning","Yes",IF(P98="Underway","Yes",IF(Q98="Planning","Yes",IF(Q98="Underway","Yes",IF(R98="Planning","Yes",IF(R98="Underway","Yes",IF(S98="Planning","Yes",IF(S98="Underway","Yes",IF(T98="Planning","Yes",IF(T98="Underway","Yes",IF(U98="Planning","Yes",IF(U98="Underway","Yes","   "))))))))))))))</f>
        <v>Yes</v>
      </c>
      <c r="B98" s="226" t="s">
        <v>547</v>
      </c>
      <c r="C98" s="62" t="s">
        <v>112</v>
      </c>
      <c r="D98" s="189" t="s">
        <v>307</v>
      </c>
      <c r="E98" s="63">
        <v>5</v>
      </c>
      <c r="F98" s="63" t="s">
        <v>17</v>
      </c>
      <c r="G98" s="63"/>
      <c r="H98" s="63" t="s">
        <v>240</v>
      </c>
      <c r="I98" s="63"/>
      <c r="J98" s="64" t="s">
        <v>27</v>
      </c>
      <c r="K98" s="8"/>
      <c r="L98" s="43"/>
      <c r="M98" s="8">
        <v>250</v>
      </c>
      <c r="N98" s="8" t="s">
        <v>17</v>
      </c>
      <c r="O98" s="58" t="s">
        <v>108</v>
      </c>
      <c r="P98" s="58" t="s">
        <v>108</v>
      </c>
      <c r="Q98" s="55"/>
      <c r="R98" s="58" t="s">
        <v>120</v>
      </c>
      <c r="S98" s="58" t="s">
        <v>120</v>
      </c>
      <c r="T98" s="58" t="s">
        <v>120</v>
      </c>
      <c r="U98" s="58"/>
      <c r="V98" s="187" t="s">
        <v>385</v>
      </c>
      <c r="AG98" s="4" t="s">
        <v>547</v>
      </c>
    </row>
    <row r="99" spans="1:33" x14ac:dyDescent="0.4">
      <c r="A99" s="177" t="str">
        <f>IF(O99="Planning","Yes",IF(O99="Underway","Yes",IF(P99="Planning","Yes",IF(P99="Underway","Yes",IF(Q99="Planning","Yes",IF(Q99="Underway","Yes",IF(R99="Planning","Yes",IF(R99="Underway","Yes",IF(S99="Planning","Yes",IF(S99="Underway","Yes",IF(T99="Planning","Yes",IF(T99="Underway","Yes",IF(U99="Planning","Yes",IF(U99="Underway","Yes","   "))))))))))))))</f>
        <v xml:space="preserve">   </v>
      </c>
      <c r="B99" s="226" t="s">
        <v>548</v>
      </c>
      <c r="C99" s="62" t="s">
        <v>259</v>
      </c>
      <c r="D99" s="189"/>
      <c r="E99" s="63">
        <v>5</v>
      </c>
      <c r="F99" s="63"/>
      <c r="G99" s="63"/>
      <c r="H99" s="63" t="s">
        <v>151</v>
      </c>
      <c r="I99" s="63"/>
      <c r="J99" s="64" t="s">
        <v>27</v>
      </c>
      <c r="K99" s="8"/>
      <c r="L99" s="43"/>
      <c r="M99" s="8"/>
      <c r="N99" s="8" t="s">
        <v>17</v>
      </c>
      <c r="O99" s="58"/>
      <c r="P99" s="58"/>
      <c r="Q99" s="55"/>
      <c r="R99" s="58"/>
      <c r="S99" s="58"/>
      <c r="T99" s="58"/>
      <c r="U99" s="58"/>
      <c r="V99" s="187"/>
      <c r="AG99" s="4" t="s">
        <v>548</v>
      </c>
    </row>
    <row r="100" spans="1:33" x14ac:dyDescent="0.4">
      <c r="A100" s="177" t="str">
        <f t="shared" ref="A100:A116" si="7">IF(O100="Planning","Yes",IF(O100="Underway","Yes",IF(P100="Planning","Yes",IF(P100="Underway","Yes",IF(Q100="Planning","Yes",IF(Q100="Underway","Yes",IF(R100="Planning","Yes",IF(R100="Underway","Yes",IF(S100="Planning","Yes",IF(S100="Underway","Yes",IF(T100="Planning","Yes",IF(T100="Underway","Yes",IF(U100="Planning","Yes",IF(U100="Underway","Yes","   "))))))))))))))</f>
        <v>Yes</v>
      </c>
      <c r="B100" s="226" t="s">
        <v>549</v>
      </c>
      <c r="C100" s="62" t="s">
        <v>153</v>
      </c>
      <c r="D100" s="189"/>
      <c r="E100" s="63">
        <v>5</v>
      </c>
      <c r="F100" s="63"/>
      <c r="G100" s="63"/>
      <c r="H100" s="63" t="s">
        <v>151</v>
      </c>
      <c r="I100" s="63"/>
      <c r="J100" s="64" t="s">
        <v>27</v>
      </c>
      <c r="K100" s="8"/>
      <c r="L100" s="43"/>
      <c r="M100" s="8"/>
      <c r="N100" s="8" t="s">
        <v>17</v>
      </c>
      <c r="O100" s="58"/>
      <c r="P100" s="58"/>
      <c r="Q100" s="55"/>
      <c r="R100" s="55" t="s">
        <v>108</v>
      </c>
      <c r="S100" s="55" t="s">
        <v>108</v>
      </c>
      <c r="T100" s="58" t="s">
        <v>108</v>
      </c>
      <c r="U100" s="58"/>
      <c r="V100" s="187"/>
      <c r="AG100" s="4" t="s">
        <v>549</v>
      </c>
    </row>
    <row r="101" spans="1:33" x14ac:dyDescent="0.4">
      <c r="A101" s="177" t="str">
        <f t="shared" si="7"/>
        <v xml:space="preserve">   </v>
      </c>
      <c r="B101" s="226" t="e">
        <v>#N/A</v>
      </c>
      <c r="C101" s="227" t="s">
        <v>37</v>
      </c>
      <c r="D101" s="189" t="s">
        <v>300</v>
      </c>
      <c r="E101" s="63">
        <v>5</v>
      </c>
      <c r="F101" s="63"/>
      <c r="G101" s="63"/>
      <c r="H101" s="63" t="s">
        <v>238</v>
      </c>
      <c r="I101" s="63"/>
      <c r="J101" s="64" t="s">
        <v>27</v>
      </c>
      <c r="K101" s="8"/>
      <c r="L101" s="43"/>
      <c r="M101" s="8"/>
      <c r="N101" s="8" t="s">
        <v>133</v>
      </c>
      <c r="O101" s="36" t="s">
        <v>120</v>
      </c>
      <c r="P101" s="58"/>
      <c r="Q101" s="58"/>
      <c r="R101" s="58"/>
      <c r="S101" s="58"/>
      <c r="T101" s="58"/>
      <c r="U101" s="58"/>
      <c r="V101" s="187"/>
      <c r="AG101" s="4" t="e">
        <v>#N/A</v>
      </c>
    </row>
    <row r="102" spans="1:33" x14ac:dyDescent="0.4">
      <c r="A102" s="177" t="str">
        <f t="shared" si="7"/>
        <v xml:space="preserve">   </v>
      </c>
      <c r="B102" s="226" t="s">
        <v>550</v>
      </c>
      <c r="C102" s="62" t="s">
        <v>445</v>
      </c>
      <c r="D102" s="189"/>
      <c r="E102" s="63">
        <v>5</v>
      </c>
      <c r="F102" s="63"/>
      <c r="G102" s="63"/>
      <c r="H102" s="63" t="s">
        <v>151</v>
      </c>
      <c r="I102" s="63"/>
      <c r="J102" s="64" t="s">
        <v>27</v>
      </c>
      <c r="K102" s="8"/>
      <c r="L102" s="43"/>
      <c r="M102" s="8"/>
      <c r="N102" s="8" t="s">
        <v>241</v>
      </c>
      <c r="O102" s="36"/>
      <c r="P102" s="58"/>
      <c r="Q102" s="58"/>
      <c r="R102" s="58"/>
      <c r="S102" s="58"/>
      <c r="T102" s="58"/>
      <c r="U102" s="58"/>
      <c r="V102" s="187"/>
      <c r="AG102" s="4" t="s">
        <v>550</v>
      </c>
    </row>
    <row r="103" spans="1:33" x14ac:dyDescent="0.4">
      <c r="A103" s="177" t="str">
        <f t="shared" si="7"/>
        <v xml:space="preserve">   </v>
      </c>
      <c r="B103" s="226" t="s">
        <v>551</v>
      </c>
      <c r="C103" s="62" t="s">
        <v>335</v>
      </c>
      <c r="D103" s="189"/>
      <c r="E103" s="63">
        <v>5</v>
      </c>
      <c r="F103" s="63"/>
      <c r="G103" s="63"/>
      <c r="H103" s="63" t="s">
        <v>151</v>
      </c>
      <c r="I103" s="63"/>
      <c r="J103" s="64" t="s">
        <v>27</v>
      </c>
      <c r="K103" s="8"/>
      <c r="L103" s="43"/>
      <c r="M103" s="8"/>
      <c r="N103" s="8" t="s">
        <v>17</v>
      </c>
      <c r="O103" s="36"/>
      <c r="P103" s="58"/>
      <c r="Q103" s="58"/>
      <c r="R103" s="58"/>
      <c r="S103" s="58"/>
      <c r="T103" s="58"/>
      <c r="U103" s="58"/>
      <c r="V103" s="187"/>
      <c r="AG103" s="4" t="s">
        <v>551</v>
      </c>
    </row>
    <row r="104" spans="1:33" x14ac:dyDescent="0.4">
      <c r="A104" s="177" t="str">
        <f t="shared" si="7"/>
        <v>Yes</v>
      </c>
      <c r="B104" s="226" t="s">
        <v>552</v>
      </c>
      <c r="C104" s="62" t="s">
        <v>272</v>
      </c>
      <c r="D104" s="189"/>
      <c r="E104" s="63">
        <v>5</v>
      </c>
      <c r="F104" s="63"/>
      <c r="G104" s="63"/>
      <c r="H104" s="63" t="s">
        <v>151</v>
      </c>
      <c r="I104" s="63"/>
      <c r="J104" s="64" t="s">
        <v>27</v>
      </c>
      <c r="K104" s="8"/>
      <c r="L104" s="43"/>
      <c r="M104" s="8"/>
      <c r="N104" s="8" t="s">
        <v>17</v>
      </c>
      <c r="O104" s="36"/>
      <c r="P104" s="58"/>
      <c r="Q104" s="214"/>
      <c r="R104" s="214"/>
      <c r="S104" s="216" t="s">
        <v>108</v>
      </c>
      <c r="T104" s="58"/>
      <c r="U104" s="58"/>
      <c r="V104" s="187"/>
      <c r="AG104" s="4" t="s">
        <v>552</v>
      </c>
    </row>
    <row r="105" spans="1:33" x14ac:dyDescent="0.4">
      <c r="A105" s="177" t="str">
        <f t="shared" si="7"/>
        <v xml:space="preserve">   </v>
      </c>
      <c r="B105" s="226" t="s">
        <v>553</v>
      </c>
      <c r="C105" s="62" t="s">
        <v>231</v>
      </c>
      <c r="D105" s="189"/>
      <c r="E105" s="63">
        <v>5</v>
      </c>
      <c r="F105" s="63"/>
      <c r="G105" s="63"/>
      <c r="H105" s="63" t="s">
        <v>151</v>
      </c>
      <c r="I105" s="63"/>
      <c r="J105" s="64" t="s">
        <v>27</v>
      </c>
      <c r="K105" s="8"/>
      <c r="L105" s="43"/>
      <c r="M105" s="8"/>
      <c r="N105" s="8" t="s">
        <v>241</v>
      </c>
      <c r="O105" s="36"/>
      <c r="P105" s="58"/>
      <c r="Q105" s="54"/>
      <c r="R105" s="54"/>
      <c r="S105" s="54"/>
      <c r="T105" s="58"/>
      <c r="U105" s="58"/>
      <c r="V105" s="187"/>
      <c r="AG105" s="4" t="s">
        <v>553</v>
      </c>
    </row>
    <row r="106" spans="1:33" x14ac:dyDescent="0.4">
      <c r="A106" s="177" t="str">
        <f t="shared" si="7"/>
        <v xml:space="preserve">   </v>
      </c>
      <c r="B106" s="226" t="s">
        <v>554</v>
      </c>
      <c r="C106" s="62" t="s">
        <v>287</v>
      </c>
      <c r="D106" s="189"/>
      <c r="E106" s="63">
        <v>5</v>
      </c>
      <c r="F106" s="63"/>
      <c r="G106" s="63"/>
      <c r="H106" s="63" t="s">
        <v>151</v>
      </c>
      <c r="I106" s="63"/>
      <c r="J106" s="64" t="s">
        <v>27</v>
      </c>
      <c r="K106" s="8"/>
      <c r="L106" s="43"/>
      <c r="M106" s="8"/>
      <c r="N106" s="8" t="s">
        <v>241</v>
      </c>
      <c r="O106" s="36"/>
      <c r="P106" s="58"/>
      <c r="Q106" s="54"/>
      <c r="R106" s="54"/>
      <c r="S106" s="54"/>
      <c r="T106" s="58"/>
      <c r="U106" s="58"/>
      <c r="V106" s="187"/>
      <c r="AG106" s="4" t="s">
        <v>554</v>
      </c>
    </row>
    <row r="107" spans="1:33" x14ac:dyDescent="0.4">
      <c r="A107" s="177" t="str">
        <f t="shared" si="7"/>
        <v>Yes</v>
      </c>
      <c r="B107" s="226" t="s">
        <v>446</v>
      </c>
      <c r="C107" s="62" t="s">
        <v>172</v>
      </c>
      <c r="D107" s="189"/>
      <c r="E107" s="63">
        <v>5</v>
      </c>
      <c r="F107" s="63"/>
      <c r="G107" s="63"/>
      <c r="H107" s="63" t="s">
        <v>249</v>
      </c>
      <c r="I107" s="63"/>
      <c r="J107" s="64" t="s">
        <v>27</v>
      </c>
      <c r="K107" s="8"/>
      <c r="L107" s="43"/>
      <c r="M107" s="8"/>
      <c r="N107" s="8" t="s">
        <v>17</v>
      </c>
      <c r="O107" s="36"/>
      <c r="P107" s="58"/>
      <c r="Q107" s="54"/>
      <c r="R107" s="54" t="s">
        <v>107</v>
      </c>
      <c r="S107" s="54" t="s">
        <v>107</v>
      </c>
      <c r="T107" s="58"/>
      <c r="U107" s="58"/>
      <c r="V107" s="187"/>
      <c r="AG107" s="4" t="s">
        <v>446</v>
      </c>
    </row>
    <row r="108" spans="1:33" x14ac:dyDescent="0.4">
      <c r="A108" s="177" t="str">
        <f t="shared" si="7"/>
        <v xml:space="preserve">   </v>
      </c>
      <c r="B108" s="226" t="s">
        <v>426</v>
      </c>
      <c r="C108" s="62" t="s">
        <v>135</v>
      </c>
      <c r="D108" s="189" t="s">
        <v>294</v>
      </c>
      <c r="E108" s="63">
        <v>5</v>
      </c>
      <c r="F108" s="63" t="s">
        <v>17</v>
      </c>
      <c r="G108" s="63"/>
      <c r="H108" s="63" t="s">
        <v>240</v>
      </c>
      <c r="I108" s="63"/>
      <c r="J108" s="64" t="s">
        <v>27</v>
      </c>
      <c r="K108" s="8"/>
      <c r="L108" s="43"/>
      <c r="M108" s="8">
        <v>550</v>
      </c>
      <c r="N108" s="8" t="s">
        <v>133</v>
      </c>
      <c r="O108" s="36" t="s">
        <v>120</v>
      </c>
      <c r="P108" s="58"/>
      <c r="Q108" s="55"/>
      <c r="R108" s="55"/>
      <c r="S108" s="55"/>
      <c r="T108" s="58"/>
      <c r="U108" s="58"/>
      <c r="V108" s="187" t="s">
        <v>264</v>
      </c>
      <c r="AG108" s="4" t="s">
        <v>426</v>
      </c>
    </row>
    <row r="109" spans="1:33" x14ac:dyDescent="0.4">
      <c r="A109" s="177" t="str">
        <f t="shared" si="7"/>
        <v xml:space="preserve">   </v>
      </c>
      <c r="B109" s="226" t="s">
        <v>447</v>
      </c>
      <c r="C109" s="62" t="s">
        <v>113</v>
      </c>
      <c r="D109" s="189"/>
      <c r="E109" s="63">
        <v>5</v>
      </c>
      <c r="F109" s="63"/>
      <c r="G109" s="63"/>
      <c r="H109" s="63" t="s">
        <v>151</v>
      </c>
      <c r="I109" s="63"/>
      <c r="J109" s="64" t="s">
        <v>27</v>
      </c>
      <c r="K109" s="8"/>
      <c r="L109" s="43"/>
      <c r="M109" s="8"/>
      <c r="N109" s="8"/>
      <c r="O109" s="36"/>
      <c r="P109" s="58"/>
      <c r="Q109" s="55"/>
      <c r="R109" s="55" t="s">
        <v>120</v>
      </c>
      <c r="S109" s="55" t="s">
        <v>120</v>
      </c>
      <c r="T109" s="58" t="s">
        <v>120</v>
      </c>
      <c r="U109" s="58"/>
      <c r="V109" s="187"/>
      <c r="AG109" s="4" t="s">
        <v>447</v>
      </c>
    </row>
    <row r="110" spans="1:33" x14ac:dyDescent="0.4">
      <c r="A110" s="177" t="str">
        <f t="shared" si="7"/>
        <v>Yes</v>
      </c>
      <c r="B110" s="226" t="s">
        <v>555</v>
      </c>
      <c r="C110" s="62" t="s">
        <v>138</v>
      </c>
      <c r="D110" s="189" t="s">
        <v>371</v>
      </c>
      <c r="E110" s="63">
        <v>5</v>
      </c>
      <c r="F110" s="63"/>
      <c r="G110" s="63"/>
      <c r="H110" s="63" t="s">
        <v>249</v>
      </c>
      <c r="I110" s="63"/>
      <c r="J110" s="64" t="s">
        <v>27</v>
      </c>
      <c r="K110" s="8"/>
      <c r="L110" s="43"/>
      <c r="M110" s="8"/>
      <c r="N110" s="8" t="s">
        <v>17</v>
      </c>
      <c r="O110" s="36"/>
      <c r="P110" s="58"/>
      <c r="Q110" s="55"/>
      <c r="R110" s="55" t="s">
        <v>107</v>
      </c>
      <c r="S110" s="55" t="s">
        <v>107</v>
      </c>
      <c r="T110" s="58" t="s">
        <v>107</v>
      </c>
      <c r="U110" s="58"/>
      <c r="V110" s="187"/>
      <c r="AG110" s="4" t="s">
        <v>555</v>
      </c>
    </row>
    <row r="111" spans="1:33" x14ac:dyDescent="0.4">
      <c r="A111" s="177" t="str">
        <f t="shared" si="7"/>
        <v xml:space="preserve">   </v>
      </c>
      <c r="B111" s="226" t="s">
        <v>556</v>
      </c>
      <c r="C111" s="62" t="s">
        <v>336</v>
      </c>
      <c r="D111" s="189"/>
      <c r="E111" s="63">
        <v>5</v>
      </c>
      <c r="F111" s="63" t="s">
        <v>17</v>
      </c>
      <c r="G111" s="63"/>
      <c r="H111" s="63" t="s">
        <v>240</v>
      </c>
      <c r="I111" s="63"/>
      <c r="J111" s="64" t="s">
        <v>27</v>
      </c>
      <c r="K111" s="8"/>
      <c r="L111" s="43"/>
      <c r="M111" s="8"/>
      <c r="N111" s="8"/>
      <c r="O111" s="36"/>
      <c r="P111" s="58"/>
      <c r="Q111" s="55"/>
      <c r="R111" s="55"/>
      <c r="S111" s="55"/>
      <c r="T111" s="58"/>
      <c r="U111" s="58"/>
      <c r="V111" s="187"/>
      <c r="AG111" s="4" t="s">
        <v>556</v>
      </c>
    </row>
    <row r="112" spans="1:33" x14ac:dyDescent="0.4">
      <c r="A112" s="177" t="str">
        <f t="shared" si="7"/>
        <v>Yes</v>
      </c>
      <c r="B112" s="226" t="s">
        <v>557</v>
      </c>
      <c r="C112" s="62" t="s">
        <v>232</v>
      </c>
      <c r="D112" s="189"/>
      <c r="E112" s="63">
        <v>5</v>
      </c>
      <c r="F112" s="63"/>
      <c r="G112" s="63"/>
      <c r="H112" s="63" t="s">
        <v>151</v>
      </c>
      <c r="I112" s="63"/>
      <c r="J112" s="64" t="s">
        <v>27</v>
      </c>
      <c r="K112" s="8"/>
      <c r="L112" s="43"/>
      <c r="M112" s="8"/>
      <c r="N112" s="8" t="s">
        <v>17</v>
      </c>
      <c r="O112" s="36"/>
      <c r="P112" s="58"/>
      <c r="Q112" s="55"/>
      <c r="R112" s="58" t="s">
        <v>107</v>
      </c>
      <c r="S112" s="58" t="s">
        <v>107</v>
      </c>
      <c r="T112" s="58" t="s">
        <v>107</v>
      </c>
      <c r="U112" s="58"/>
      <c r="V112" s="187" t="s">
        <v>310</v>
      </c>
      <c r="AG112" s="4" t="s">
        <v>557</v>
      </c>
    </row>
    <row r="113" spans="1:33" x14ac:dyDescent="0.4">
      <c r="A113" s="177" t="str">
        <f t="shared" si="7"/>
        <v>Yes</v>
      </c>
      <c r="B113" s="226" t="s">
        <v>558</v>
      </c>
      <c r="C113" s="62" t="s">
        <v>209</v>
      </c>
      <c r="D113" s="189" t="s">
        <v>306</v>
      </c>
      <c r="E113" s="63">
        <v>5</v>
      </c>
      <c r="F113" s="63"/>
      <c r="G113" s="63"/>
      <c r="H113" s="63" t="s">
        <v>149</v>
      </c>
      <c r="I113" s="63" t="s">
        <v>322</v>
      </c>
      <c r="J113" s="64" t="s">
        <v>27</v>
      </c>
      <c r="K113" s="8"/>
      <c r="L113" s="43"/>
      <c r="M113" s="8"/>
      <c r="N113" s="8" t="s">
        <v>17</v>
      </c>
      <c r="O113" s="36" t="s">
        <v>108</v>
      </c>
      <c r="P113" s="58"/>
      <c r="Q113" s="55"/>
      <c r="R113" s="55" t="s">
        <v>120</v>
      </c>
      <c r="S113" s="55" t="s">
        <v>120</v>
      </c>
      <c r="T113" s="55" t="s">
        <v>120</v>
      </c>
      <c r="U113" s="58"/>
      <c r="V113" s="187"/>
      <c r="AG113" s="4" t="s">
        <v>558</v>
      </c>
    </row>
    <row r="114" spans="1:33" x14ac:dyDescent="0.4">
      <c r="A114" s="177" t="str">
        <f>IF(O114="Planning","Yes",IF(O114="Underway","Yes",IF(P114="Planning","Yes",IF(P114="Underway","Yes",IF(Q114="Planning","Yes",IF(Q114="Underway","Yes",IF(R114="Planning","Yes",IF(R114="Underway","Yes",IF(S114="Planning","Yes",IF(S114="Underway","Yes",IF(T114="Planning","Yes",IF(T114="Underway","Yes",IF(U114="Planning","Yes",IF(U114="Underway","Yes","   "))))))))))))))</f>
        <v>Yes</v>
      </c>
      <c r="B114" s="226" t="s">
        <v>448</v>
      </c>
      <c r="C114" s="62" t="s">
        <v>252</v>
      </c>
      <c r="D114" s="189" t="s">
        <v>306</v>
      </c>
      <c r="E114" s="63">
        <v>5</v>
      </c>
      <c r="F114" s="63" t="s">
        <v>17</v>
      </c>
      <c r="G114" s="63"/>
      <c r="H114" s="63" t="s">
        <v>240</v>
      </c>
      <c r="I114" s="63"/>
      <c r="J114" s="64" t="s">
        <v>27</v>
      </c>
      <c r="K114" s="8"/>
      <c r="L114" s="43"/>
      <c r="M114" s="8"/>
      <c r="N114" s="8" t="s">
        <v>241</v>
      </c>
      <c r="O114" s="36" t="s">
        <v>108</v>
      </c>
      <c r="P114" s="58"/>
      <c r="Q114" s="55"/>
      <c r="R114" s="55" t="s">
        <v>108</v>
      </c>
      <c r="S114" s="55" t="s">
        <v>108</v>
      </c>
      <c r="T114" s="55" t="s">
        <v>108</v>
      </c>
      <c r="U114" s="58"/>
      <c r="V114" s="187" t="s">
        <v>400</v>
      </c>
      <c r="AG114" s="4" t="s">
        <v>448</v>
      </c>
    </row>
    <row r="115" spans="1:33" x14ac:dyDescent="0.4">
      <c r="A115" s="177" t="str">
        <f t="shared" si="7"/>
        <v>Yes</v>
      </c>
      <c r="B115" s="226" t="s">
        <v>449</v>
      </c>
      <c r="C115" s="62" t="s">
        <v>157</v>
      </c>
      <c r="D115" s="189"/>
      <c r="E115" s="63">
        <v>5</v>
      </c>
      <c r="F115" s="63"/>
      <c r="G115" s="63"/>
      <c r="H115" s="63" t="s">
        <v>151</v>
      </c>
      <c r="I115" s="63"/>
      <c r="J115" s="64" t="s">
        <v>27</v>
      </c>
      <c r="K115" s="8"/>
      <c r="L115" s="43"/>
      <c r="M115" s="8"/>
      <c r="N115" s="8" t="s">
        <v>17</v>
      </c>
      <c r="O115" s="36"/>
      <c r="P115" s="58"/>
      <c r="Q115" s="55"/>
      <c r="R115" s="55" t="s">
        <v>108</v>
      </c>
      <c r="S115" s="55" t="s">
        <v>108</v>
      </c>
      <c r="T115" s="55" t="s">
        <v>108</v>
      </c>
      <c r="U115" s="58"/>
      <c r="V115" s="187"/>
      <c r="AG115" s="4" t="s">
        <v>449</v>
      </c>
    </row>
    <row r="116" spans="1:33" x14ac:dyDescent="0.4">
      <c r="A116" s="177" t="str">
        <f t="shared" si="7"/>
        <v xml:space="preserve">   </v>
      </c>
      <c r="B116" s="226" t="e">
        <v>#N/A</v>
      </c>
      <c r="C116" s="227" t="s">
        <v>337</v>
      </c>
      <c r="D116" s="189"/>
      <c r="E116" s="63">
        <v>5</v>
      </c>
      <c r="F116" s="63"/>
      <c r="G116" s="63"/>
      <c r="H116" s="63" t="s">
        <v>148</v>
      </c>
      <c r="I116" s="63"/>
      <c r="J116" s="64" t="s">
        <v>27</v>
      </c>
      <c r="K116" s="8"/>
      <c r="L116" s="43"/>
      <c r="M116" s="8"/>
      <c r="N116" s="8"/>
      <c r="O116" s="36"/>
      <c r="P116" s="58"/>
      <c r="Q116" s="55"/>
      <c r="R116" s="55"/>
      <c r="S116" s="55"/>
      <c r="T116" s="55"/>
      <c r="U116" s="58"/>
      <c r="V116" s="187"/>
      <c r="AG116" s="4" t="e">
        <v>#N/A</v>
      </c>
    </row>
    <row r="117" spans="1:33" x14ac:dyDescent="0.4">
      <c r="A117" s="177" t="str">
        <f t="shared" ref="A117:A137" si="8">IF(O117="Planning","Yes",IF(O117="Underway","Yes",IF(P117="Planning","Yes",IF(P117="Underway","Yes",IF(Q117="Planning","Yes",IF(Q117="Underway","Yes",IF(R117="Planning","Yes",IF(R117="Underway","Yes",IF(S117="Planning","Yes",IF(S117="Underway","Yes",IF(T117="Planning","Yes",IF(T117="Underway","Yes",IF(U117="Planning","Yes",IF(U117="Underway","Yes","   "))))))))))))))</f>
        <v>Yes</v>
      </c>
      <c r="B117" s="226" t="s">
        <v>559</v>
      </c>
      <c r="C117" s="62" t="s">
        <v>139</v>
      </c>
      <c r="D117" s="189"/>
      <c r="E117" s="63">
        <v>5</v>
      </c>
      <c r="F117" s="63"/>
      <c r="G117" s="63"/>
      <c r="H117" s="63" t="s">
        <v>151</v>
      </c>
      <c r="I117" s="63"/>
      <c r="J117" s="64" t="s">
        <v>27</v>
      </c>
      <c r="K117" s="8"/>
      <c r="L117" s="43"/>
      <c r="M117" s="8"/>
      <c r="N117" s="8" t="s">
        <v>17</v>
      </c>
      <c r="O117" s="36"/>
      <c r="P117" s="58"/>
      <c r="Q117" s="55"/>
      <c r="R117" s="55" t="s">
        <v>108</v>
      </c>
      <c r="S117" s="55" t="s">
        <v>108</v>
      </c>
      <c r="T117" s="58" t="s">
        <v>108</v>
      </c>
      <c r="U117" s="58"/>
      <c r="V117" s="187"/>
      <c r="AG117" s="4" t="s">
        <v>559</v>
      </c>
    </row>
    <row r="118" spans="1:33" x14ac:dyDescent="0.4">
      <c r="A118" s="177" t="str">
        <f t="shared" si="8"/>
        <v xml:space="preserve">   </v>
      </c>
      <c r="B118" s="226" t="s">
        <v>560</v>
      </c>
      <c r="C118" s="62" t="s">
        <v>243</v>
      </c>
      <c r="D118" s="189"/>
      <c r="E118" s="63">
        <v>5</v>
      </c>
      <c r="F118" s="63"/>
      <c r="G118" s="63"/>
      <c r="H118" s="63" t="s">
        <v>151</v>
      </c>
      <c r="I118" s="63"/>
      <c r="J118" s="64" t="s">
        <v>27</v>
      </c>
      <c r="K118" s="8"/>
      <c r="L118" s="43"/>
      <c r="M118" s="8"/>
      <c r="N118" s="8" t="s">
        <v>241</v>
      </c>
      <c r="O118" s="36"/>
      <c r="P118" s="58"/>
      <c r="Q118" s="55"/>
      <c r="R118" s="55"/>
      <c r="S118" s="55"/>
      <c r="T118" s="58"/>
      <c r="U118" s="58"/>
      <c r="V118" s="187"/>
      <c r="AG118" s="4" t="s">
        <v>560</v>
      </c>
    </row>
    <row r="119" spans="1:33" x14ac:dyDescent="0.4">
      <c r="A119" s="177" t="str">
        <f t="shared" si="8"/>
        <v xml:space="preserve">   </v>
      </c>
      <c r="B119" s="226" t="s">
        <v>450</v>
      </c>
      <c r="C119" s="62" t="s">
        <v>122</v>
      </c>
      <c r="D119" s="189" t="s">
        <v>307</v>
      </c>
      <c r="E119" s="63">
        <v>5</v>
      </c>
      <c r="F119" s="63"/>
      <c r="G119" s="63"/>
      <c r="H119" s="63" t="s">
        <v>238</v>
      </c>
      <c r="I119" s="63"/>
      <c r="J119" s="64" t="s">
        <v>27</v>
      </c>
      <c r="K119" s="8"/>
      <c r="L119" s="43"/>
      <c r="M119" s="8"/>
      <c r="N119" s="8" t="s">
        <v>133</v>
      </c>
      <c r="O119" s="36" t="s">
        <v>120</v>
      </c>
      <c r="P119" s="36"/>
      <c r="Q119" s="36"/>
      <c r="R119" s="36"/>
      <c r="S119" s="36"/>
      <c r="T119" s="58"/>
      <c r="U119" s="58"/>
      <c r="V119" s="187"/>
      <c r="AG119" s="4" t="s">
        <v>450</v>
      </c>
    </row>
    <row r="120" spans="1:33" x14ac:dyDescent="0.4">
      <c r="A120" s="177" t="str">
        <f t="shared" si="8"/>
        <v xml:space="preserve">   </v>
      </c>
      <c r="B120" s="226" t="s">
        <v>451</v>
      </c>
      <c r="C120" s="62" t="s">
        <v>388</v>
      </c>
      <c r="D120" s="189" t="s">
        <v>296</v>
      </c>
      <c r="E120" s="63">
        <v>5</v>
      </c>
      <c r="F120" s="63"/>
      <c r="G120" s="63"/>
      <c r="H120" s="63" t="s">
        <v>151</v>
      </c>
      <c r="I120" s="63"/>
      <c r="J120" s="64" t="s">
        <v>27</v>
      </c>
      <c r="K120" s="8"/>
      <c r="L120" s="43"/>
      <c r="M120" s="8"/>
      <c r="N120" s="8"/>
      <c r="O120" s="36"/>
      <c r="P120" s="217"/>
      <c r="Q120" s="36"/>
      <c r="R120" s="36"/>
      <c r="S120" s="36"/>
      <c r="T120" s="58"/>
      <c r="U120" s="58"/>
      <c r="V120" s="187"/>
      <c r="AG120" s="4" t="s">
        <v>451</v>
      </c>
    </row>
    <row r="121" spans="1:33" x14ac:dyDescent="0.4">
      <c r="A121" s="177" t="str">
        <f t="shared" si="8"/>
        <v>Yes</v>
      </c>
      <c r="B121" s="226" t="s">
        <v>561</v>
      </c>
      <c r="C121" s="62" t="s">
        <v>210</v>
      </c>
      <c r="D121" s="189"/>
      <c r="E121" s="63">
        <v>5</v>
      </c>
      <c r="F121" s="63"/>
      <c r="G121" s="63"/>
      <c r="H121" s="63" t="s">
        <v>150</v>
      </c>
      <c r="I121" s="63"/>
      <c r="J121" s="64" t="s">
        <v>27</v>
      </c>
      <c r="K121" s="8"/>
      <c r="L121" s="43"/>
      <c r="M121" s="8"/>
      <c r="N121" s="8" t="s">
        <v>17</v>
      </c>
      <c r="O121" s="36" t="s">
        <v>107</v>
      </c>
      <c r="Q121" s="58" t="s">
        <v>107</v>
      </c>
      <c r="R121" s="55"/>
      <c r="S121" s="55" t="s">
        <v>108</v>
      </c>
      <c r="T121" s="55"/>
      <c r="U121" s="58"/>
      <c r="V121" s="187"/>
      <c r="AG121" s="4" t="s">
        <v>561</v>
      </c>
    </row>
    <row r="122" spans="1:33" x14ac:dyDescent="0.4">
      <c r="A122" s="177" t="str">
        <f t="shared" si="8"/>
        <v>Yes</v>
      </c>
      <c r="B122" s="226" t="s">
        <v>453</v>
      </c>
      <c r="C122" s="62" t="s">
        <v>452</v>
      </c>
      <c r="D122" s="189"/>
      <c r="E122" s="63">
        <v>5</v>
      </c>
      <c r="F122" s="63"/>
      <c r="G122" s="63"/>
      <c r="H122" s="63" t="s">
        <v>151</v>
      </c>
      <c r="I122" s="63"/>
      <c r="J122" s="64" t="s">
        <v>27</v>
      </c>
      <c r="K122" s="8"/>
      <c r="L122" s="43"/>
      <c r="M122" s="8"/>
      <c r="N122" s="8" t="s">
        <v>17</v>
      </c>
      <c r="O122" s="36"/>
      <c r="P122" s="58"/>
      <c r="Q122" s="214"/>
      <c r="R122" s="55"/>
      <c r="S122" s="55" t="s">
        <v>107</v>
      </c>
      <c r="T122" s="55"/>
      <c r="U122" s="58"/>
      <c r="V122" s="187"/>
      <c r="AG122" s="4" t="s">
        <v>453</v>
      </c>
    </row>
    <row r="123" spans="1:33" x14ac:dyDescent="0.4">
      <c r="A123" s="177" t="str">
        <f t="shared" si="8"/>
        <v>Yes</v>
      </c>
      <c r="B123" s="226" t="s">
        <v>562</v>
      </c>
      <c r="C123" s="62" t="s">
        <v>173</v>
      </c>
      <c r="D123" s="189"/>
      <c r="E123" s="63">
        <v>5</v>
      </c>
      <c r="F123" s="63"/>
      <c r="G123" s="63"/>
      <c r="H123" s="63" t="s">
        <v>151</v>
      </c>
      <c r="I123" s="63"/>
      <c r="J123" s="64" t="s">
        <v>27</v>
      </c>
      <c r="K123" s="8"/>
      <c r="L123" s="43"/>
      <c r="M123" s="8"/>
      <c r="N123" s="8" t="s">
        <v>17</v>
      </c>
      <c r="O123" s="36"/>
      <c r="P123" s="58"/>
      <c r="Q123" s="214"/>
      <c r="R123" s="55" t="s">
        <v>108</v>
      </c>
      <c r="S123" s="55" t="s">
        <v>108</v>
      </c>
      <c r="T123" s="58" t="s">
        <v>108</v>
      </c>
      <c r="U123" s="58"/>
      <c r="V123" s="187"/>
      <c r="AG123" s="4" t="s">
        <v>562</v>
      </c>
    </row>
    <row r="124" spans="1:33" x14ac:dyDescent="0.4">
      <c r="A124" s="177" t="str">
        <f t="shared" si="8"/>
        <v xml:space="preserve">   </v>
      </c>
      <c r="B124" s="226" t="s">
        <v>454</v>
      </c>
      <c r="C124" s="62" t="s">
        <v>338</v>
      </c>
      <c r="D124" s="189" t="s">
        <v>357</v>
      </c>
      <c r="E124" s="63">
        <v>5</v>
      </c>
      <c r="F124" s="63" t="s">
        <v>17</v>
      </c>
      <c r="G124" s="63"/>
      <c r="H124" s="63" t="s">
        <v>240</v>
      </c>
      <c r="I124" s="63"/>
      <c r="J124" s="64" t="s">
        <v>27</v>
      </c>
      <c r="K124" s="8"/>
      <c r="L124" s="43"/>
      <c r="M124" s="8"/>
      <c r="N124" s="8"/>
      <c r="O124" s="36"/>
      <c r="P124" s="58"/>
      <c r="Q124" s="54"/>
      <c r="R124" s="55"/>
      <c r="S124" s="55"/>
      <c r="T124" s="55"/>
      <c r="U124" s="58"/>
      <c r="V124" s="187"/>
      <c r="AG124" s="4" t="s">
        <v>454</v>
      </c>
    </row>
    <row r="125" spans="1:33" x14ac:dyDescent="0.4">
      <c r="A125" s="177" t="str">
        <f t="shared" si="8"/>
        <v xml:space="preserve">   </v>
      </c>
      <c r="B125" s="226" t="s">
        <v>563</v>
      </c>
      <c r="C125" s="62" t="s">
        <v>194</v>
      </c>
      <c r="D125" s="189"/>
      <c r="E125" s="63">
        <v>5</v>
      </c>
      <c r="F125" s="63"/>
      <c r="G125" s="63"/>
      <c r="H125" s="63" t="s">
        <v>149</v>
      </c>
      <c r="I125" s="63"/>
      <c r="J125" s="64" t="s">
        <v>27</v>
      </c>
      <c r="K125" s="8"/>
      <c r="L125" s="43"/>
      <c r="M125" s="8"/>
      <c r="N125" s="8" t="s">
        <v>17</v>
      </c>
      <c r="O125" s="36"/>
      <c r="P125" s="58"/>
      <c r="Q125" s="54"/>
      <c r="R125" s="55"/>
      <c r="S125" s="55"/>
      <c r="T125" s="55"/>
      <c r="U125" s="58"/>
      <c r="V125" s="187"/>
      <c r="AG125" s="4" t="s">
        <v>563</v>
      </c>
    </row>
    <row r="126" spans="1:33" x14ac:dyDescent="0.4">
      <c r="A126" s="177" t="str">
        <f t="shared" si="8"/>
        <v xml:space="preserve">   </v>
      </c>
      <c r="B126" s="226" t="s">
        <v>564</v>
      </c>
      <c r="C126" s="62" t="s">
        <v>193</v>
      </c>
      <c r="D126" s="189" t="s">
        <v>308</v>
      </c>
      <c r="E126" s="63">
        <v>5</v>
      </c>
      <c r="F126" s="63"/>
      <c r="G126" s="63"/>
      <c r="H126" s="63" t="s">
        <v>151</v>
      </c>
      <c r="I126" s="63"/>
      <c r="J126" s="64" t="s">
        <v>27</v>
      </c>
      <c r="K126" s="8"/>
      <c r="L126" s="43"/>
      <c r="M126" s="8"/>
      <c r="N126" s="8" t="s">
        <v>17</v>
      </c>
      <c r="O126" s="36"/>
      <c r="P126" s="58"/>
      <c r="Q126" s="54"/>
      <c r="R126" s="55"/>
      <c r="S126" s="55"/>
      <c r="T126" s="55"/>
      <c r="U126" s="58"/>
      <c r="V126" s="187" t="s">
        <v>372</v>
      </c>
      <c r="AG126" s="4" t="s">
        <v>564</v>
      </c>
    </row>
    <row r="127" spans="1:33" x14ac:dyDescent="0.4">
      <c r="A127" s="177" t="str">
        <f t="shared" si="8"/>
        <v>Yes</v>
      </c>
      <c r="B127" s="226" t="s">
        <v>565</v>
      </c>
      <c r="C127" s="62" t="s">
        <v>273</v>
      </c>
      <c r="D127" s="189"/>
      <c r="E127" s="63">
        <v>5</v>
      </c>
      <c r="F127" s="63"/>
      <c r="G127" s="63"/>
      <c r="H127" s="63" t="s">
        <v>151</v>
      </c>
      <c r="I127" s="63"/>
      <c r="J127" s="64" t="s">
        <v>27</v>
      </c>
      <c r="K127" s="8"/>
      <c r="L127" s="43"/>
      <c r="M127" s="8"/>
      <c r="N127" s="8" t="s">
        <v>17</v>
      </c>
      <c r="O127" s="36"/>
      <c r="P127" s="58"/>
      <c r="Q127" s="214"/>
      <c r="R127" s="58" t="s">
        <v>107</v>
      </c>
      <c r="S127" s="58" t="s">
        <v>107</v>
      </c>
      <c r="T127" s="58" t="s">
        <v>107</v>
      </c>
      <c r="U127" s="58"/>
      <c r="V127" s="187"/>
      <c r="AG127" s="4" t="s">
        <v>565</v>
      </c>
    </row>
    <row r="128" spans="1:33" x14ac:dyDescent="0.4">
      <c r="A128" s="177"/>
      <c r="B128" s="226" t="s">
        <v>455</v>
      </c>
      <c r="C128" s="62" t="s">
        <v>368</v>
      </c>
      <c r="D128" s="189" t="s">
        <v>296</v>
      </c>
      <c r="E128" s="63">
        <v>5</v>
      </c>
      <c r="F128" s="63"/>
      <c r="G128" s="63"/>
      <c r="H128" s="63" t="s">
        <v>151</v>
      </c>
      <c r="I128" s="63"/>
      <c r="J128" s="64" t="s">
        <v>27</v>
      </c>
      <c r="K128" s="8"/>
      <c r="L128" s="43"/>
      <c r="M128" s="8">
        <v>8</v>
      </c>
      <c r="N128" s="8" t="s">
        <v>241</v>
      </c>
      <c r="O128" s="36"/>
      <c r="P128" s="58"/>
      <c r="Q128" s="54"/>
      <c r="R128" s="55"/>
      <c r="S128" s="55"/>
      <c r="T128" s="55"/>
      <c r="U128" s="58"/>
      <c r="V128" s="187"/>
      <c r="AG128" s="4" t="s">
        <v>455</v>
      </c>
    </row>
    <row r="129" spans="1:33" x14ac:dyDescent="0.4">
      <c r="A129" s="177" t="str">
        <f t="shared" si="8"/>
        <v xml:space="preserve">   </v>
      </c>
      <c r="B129" s="226" t="s">
        <v>566</v>
      </c>
      <c r="C129" s="62" t="s">
        <v>244</v>
      </c>
      <c r="D129" s="189"/>
      <c r="E129" s="63">
        <v>5</v>
      </c>
      <c r="F129" s="63"/>
      <c r="G129" s="63"/>
      <c r="H129" s="63" t="s">
        <v>151</v>
      </c>
      <c r="I129" s="63"/>
      <c r="J129" s="64" t="s">
        <v>27</v>
      </c>
      <c r="K129" s="8"/>
      <c r="L129" s="43"/>
      <c r="M129" s="8"/>
      <c r="N129" s="8" t="s">
        <v>241</v>
      </c>
      <c r="O129" s="36"/>
      <c r="P129" s="58"/>
      <c r="Q129" s="54"/>
      <c r="R129" s="55"/>
      <c r="S129" s="55"/>
      <c r="T129" s="55"/>
      <c r="U129" s="58"/>
      <c r="V129" s="187"/>
      <c r="AG129" s="4" t="s">
        <v>566</v>
      </c>
    </row>
    <row r="130" spans="1:33" x14ac:dyDescent="0.4">
      <c r="A130" s="177" t="str">
        <f t="shared" si="8"/>
        <v xml:space="preserve">   </v>
      </c>
      <c r="B130" s="226" t="s">
        <v>567</v>
      </c>
      <c r="C130" s="62" t="s">
        <v>174</v>
      </c>
      <c r="D130" s="189"/>
      <c r="E130" s="63">
        <v>5</v>
      </c>
      <c r="F130" s="63"/>
      <c r="G130" s="63"/>
      <c r="H130" s="63" t="s">
        <v>149</v>
      </c>
      <c r="I130" s="63"/>
      <c r="J130" s="64" t="s">
        <v>27</v>
      </c>
      <c r="K130" s="8"/>
      <c r="L130" s="43"/>
      <c r="M130" s="8"/>
      <c r="N130" s="8" t="s">
        <v>17</v>
      </c>
      <c r="O130" s="36"/>
      <c r="P130" s="58"/>
      <c r="Q130" s="54"/>
      <c r="R130" s="55"/>
      <c r="S130" s="55"/>
      <c r="T130" s="55"/>
      <c r="U130" s="58"/>
      <c r="V130" s="187"/>
      <c r="AG130" s="4" t="s">
        <v>567</v>
      </c>
    </row>
    <row r="131" spans="1:33" x14ac:dyDescent="0.4">
      <c r="A131" s="177" t="str">
        <f t="shared" si="8"/>
        <v xml:space="preserve">   </v>
      </c>
      <c r="B131" s="226" t="e">
        <v>#N/A</v>
      </c>
      <c r="C131" s="62" t="s">
        <v>339</v>
      </c>
      <c r="D131" s="189"/>
      <c r="E131" s="63">
        <v>5</v>
      </c>
      <c r="F131" s="63"/>
      <c r="G131" s="63"/>
      <c r="H131" s="63"/>
      <c r="I131" s="63"/>
      <c r="J131" s="64" t="s">
        <v>27</v>
      </c>
      <c r="K131" s="8"/>
      <c r="L131" s="43"/>
      <c r="M131" s="8"/>
      <c r="N131" s="8"/>
      <c r="O131" s="36"/>
      <c r="P131" s="58"/>
      <c r="Q131" s="54"/>
      <c r="R131" s="55"/>
      <c r="S131" s="55"/>
      <c r="T131" s="55"/>
      <c r="U131" s="58"/>
      <c r="V131" s="187"/>
      <c r="AG131" s="4" t="e">
        <v>#N/A</v>
      </c>
    </row>
    <row r="132" spans="1:33" x14ac:dyDescent="0.4">
      <c r="A132" s="177" t="str">
        <f t="shared" si="8"/>
        <v xml:space="preserve">   </v>
      </c>
      <c r="B132" s="226" t="e">
        <v>#N/A</v>
      </c>
      <c r="C132" s="227" t="s">
        <v>233</v>
      </c>
      <c r="D132" s="189" t="s">
        <v>294</v>
      </c>
      <c r="E132" s="63">
        <v>5</v>
      </c>
      <c r="F132" s="63"/>
      <c r="G132" s="63"/>
      <c r="H132" s="63" t="s">
        <v>149</v>
      </c>
      <c r="I132" s="63"/>
      <c r="J132" s="64" t="s">
        <v>27</v>
      </c>
      <c r="K132" s="8"/>
      <c r="L132" s="43"/>
      <c r="M132" s="8"/>
      <c r="N132" s="8" t="s">
        <v>17</v>
      </c>
      <c r="O132" s="36"/>
      <c r="P132" s="58"/>
      <c r="Q132" s="53"/>
      <c r="R132" s="53"/>
      <c r="S132" s="53"/>
      <c r="T132" s="58"/>
      <c r="U132" s="58"/>
      <c r="V132" s="187"/>
      <c r="AG132" s="4" t="e">
        <v>#N/A</v>
      </c>
    </row>
    <row r="133" spans="1:33" x14ac:dyDescent="0.4">
      <c r="A133" s="177" t="str">
        <f t="shared" si="8"/>
        <v xml:space="preserve">   </v>
      </c>
      <c r="B133" s="226" t="s">
        <v>456</v>
      </c>
      <c r="C133" s="62" t="s">
        <v>290</v>
      </c>
      <c r="D133" s="189"/>
      <c r="E133" s="63">
        <v>5</v>
      </c>
      <c r="F133" s="63"/>
      <c r="G133" s="63"/>
      <c r="H133" s="63" t="s">
        <v>151</v>
      </c>
      <c r="I133" s="63"/>
      <c r="J133" s="64" t="s">
        <v>27</v>
      </c>
      <c r="K133" s="8"/>
      <c r="L133" s="43"/>
      <c r="M133" s="8"/>
      <c r="N133" s="8" t="s">
        <v>241</v>
      </c>
      <c r="O133" s="36"/>
      <c r="P133" s="58"/>
      <c r="Q133" s="53"/>
      <c r="R133" s="53"/>
      <c r="S133" s="53"/>
      <c r="T133" s="58"/>
      <c r="U133" s="58"/>
      <c r="V133" s="187"/>
      <c r="AG133" s="4" t="s">
        <v>456</v>
      </c>
    </row>
    <row r="134" spans="1:33" x14ac:dyDescent="0.4">
      <c r="A134" s="177" t="str">
        <f t="shared" si="8"/>
        <v xml:space="preserve">   </v>
      </c>
      <c r="B134" s="226" t="e">
        <v>#N/A</v>
      </c>
      <c r="C134" s="227" t="s">
        <v>85</v>
      </c>
      <c r="D134" s="189" t="s">
        <v>306</v>
      </c>
      <c r="E134" s="63">
        <v>5</v>
      </c>
      <c r="F134" s="63" t="s">
        <v>17</v>
      </c>
      <c r="G134" s="63"/>
      <c r="H134" s="63" t="s">
        <v>240</v>
      </c>
      <c r="I134" s="63"/>
      <c r="J134" s="64" t="s">
        <v>27</v>
      </c>
      <c r="K134" s="8"/>
      <c r="L134" s="43"/>
      <c r="M134" s="8"/>
      <c r="N134" s="8" t="s">
        <v>133</v>
      </c>
      <c r="O134" s="36" t="s">
        <v>120</v>
      </c>
      <c r="P134" s="36"/>
      <c r="Q134" s="36"/>
      <c r="R134" s="36"/>
      <c r="S134" s="36"/>
      <c r="T134" s="58"/>
      <c r="U134" s="58"/>
      <c r="V134" s="187"/>
      <c r="AG134" s="4" t="e">
        <v>#N/A</v>
      </c>
    </row>
    <row r="135" spans="1:33" x14ac:dyDescent="0.4">
      <c r="A135" s="177" t="str">
        <f t="shared" si="8"/>
        <v xml:space="preserve">   </v>
      </c>
      <c r="B135" s="226" t="s">
        <v>458</v>
      </c>
      <c r="C135" s="62" t="s">
        <v>457</v>
      </c>
      <c r="D135" s="189"/>
      <c r="E135" s="63">
        <v>5</v>
      </c>
      <c r="F135" s="63"/>
      <c r="G135" s="63"/>
      <c r="H135" s="63" t="s">
        <v>148</v>
      </c>
      <c r="I135" s="63"/>
      <c r="J135" s="64" t="s">
        <v>27</v>
      </c>
      <c r="K135" s="8"/>
      <c r="L135" s="43"/>
      <c r="M135" s="8"/>
      <c r="N135" s="8" t="s">
        <v>17</v>
      </c>
      <c r="O135" s="36"/>
      <c r="P135" s="36"/>
      <c r="Q135" s="36"/>
      <c r="R135" s="36"/>
      <c r="S135" s="36"/>
      <c r="T135" s="58"/>
      <c r="U135" s="58"/>
      <c r="V135" s="187"/>
      <c r="AG135" s="4" t="s">
        <v>458</v>
      </c>
    </row>
    <row r="136" spans="1:33" x14ac:dyDescent="0.4">
      <c r="A136" s="177" t="str">
        <f>IF(O136="Planning","Yes",IF(O136="Underway","Yes",IF(P136="Planning","Yes",IF(P136="Underway","Yes",IF(Q136="Planning","Yes",IF(Q136="Underway","Yes",IF(R136="Planning","Yes",IF(R136="Underway","Yes",IF(S136="Planning","Yes",IF(S136="Underway","Yes",IF(T136="Planning","Yes",IF(T136="Underway","Yes",IF(U136="Planning","Yes",IF(U136="Underway","Yes","   "))))))))))))))</f>
        <v xml:space="preserve">   </v>
      </c>
      <c r="B136" s="226" t="s">
        <v>568</v>
      </c>
      <c r="C136" s="62" t="s">
        <v>211</v>
      </c>
      <c r="D136" s="189"/>
      <c r="E136" s="63">
        <v>5</v>
      </c>
      <c r="F136" s="63"/>
      <c r="G136" s="63"/>
      <c r="H136" s="63" t="s">
        <v>151</v>
      </c>
      <c r="I136" s="63"/>
      <c r="J136" s="64" t="s">
        <v>27</v>
      </c>
      <c r="K136" s="8"/>
      <c r="L136" s="43"/>
      <c r="M136" s="8">
        <v>1</v>
      </c>
      <c r="N136" s="8" t="s">
        <v>17</v>
      </c>
      <c r="O136" s="36"/>
      <c r="P136" s="36"/>
      <c r="Q136" s="36"/>
      <c r="R136" s="55" t="s">
        <v>120</v>
      </c>
      <c r="S136" s="55" t="s">
        <v>120</v>
      </c>
      <c r="T136" s="58" t="s">
        <v>120</v>
      </c>
      <c r="U136" s="55"/>
      <c r="V136" s="187"/>
      <c r="AG136" s="4" t="s">
        <v>568</v>
      </c>
    </row>
    <row r="137" spans="1:33" x14ac:dyDescent="0.4">
      <c r="A137" s="177" t="str">
        <f t="shared" si="8"/>
        <v xml:space="preserve">   </v>
      </c>
      <c r="B137" s="226" t="s">
        <v>459</v>
      </c>
      <c r="C137" s="62" t="s">
        <v>140</v>
      </c>
      <c r="D137" s="189"/>
      <c r="E137" s="63">
        <v>5</v>
      </c>
      <c r="F137" s="63"/>
      <c r="G137" s="63"/>
      <c r="H137" s="63" t="s">
        <v>238</v>
      </c>
      <c r="I137" s="63"/>
      <c r="J137" s="64" t="s">
        <v>27</v>
      </c>
      <c r="K137" s="8"/>
      <c r="L137" s="43"/>
      <c r="M137" s="8"/>
      <c r="N137" s="8" t="s">
        <v>17</v>
      </c>
      <c r="O137" s="36"/>
      <c r="P137" s="36"/>
      <c r="Q137" s="36"/>
      <c r="R137" s="55" t="s">
        <v>120</v>
      </c>
      <c r="S137" s="55"/>
      <c r="T137" s="55"/>
      <c r="U137" s="55"/>
      <c r="V137" s="187"/>
      <c r="AG137" s="4" t="s">
        <v>459</v>
      </c>
    </row>
    <row r="138" spans="1:33" x14ac:dyDescent="0.4">
      <c r="A138" s="177" t="str">
        <f t="shared" ref="A138:A140" si="9">IF(O138="Planning","Yes",IF(O138="Underway","Yes",IF(P138="Planning","Yes",IF(P138="Underway","Yes",IF(Q138="Planning","Yes",IF(Q138="Underway","Yes",IF(R138="Planning","Yes",IF(R138="Underway","Yes",IF(S138="Planning","Yes",IF(S138="Underway","Yes",IF(T138="Planning","Yes",IF(T138="Underway","Yes",IF(U138="Planning","Yes",IF(U138="Underway","Yes","   "))))))))))))))</f>
        <v>Yes</v>
      </c>
      <c r="B138" s="226" t="s">
        <v>460</v>
      </c>
      <c r="C138" s="62" t="s">
        <v>101</v>
      </c>
      <c r="D138" s="189" t="s">
        <v>294</v>
      </c>
      <c r="E138" s="63">
        <v>5</v>
      </c>
      <c r="F138" s="63"/>
      <c r="G138" s="63"/>
      <c r="H138" s="63" t="s">
        <v>151</v>
      </c>
      <c r="I138" s="63"/>
      <c r="J138" s="64" t="s">
        <v>27</v>
      </c>
      <c r="K138" s="8"/>
      <c r="L138" s="43"/>
      <c r="M138" s="8"/>
      <c r="N138" s="8" t="s">
        <v>133</v>
      </c>
      <c r="O138" s="36" t="s">
        <v>120</v>
      </c>
      <c r="P138" s="58"/>
      <c r="Q138" s="58" t="s">
        <v>120</v>
      </c>
      <c r="R138" s="58"/>
      <c r="S138" s="58"/>
      <c r="T138" s="58" t="s">
        <v>108</v>
      </c>
      <c r="U138" s="58"/>
      <c r="V138" s="187"/>
      <c r="AG138" s="4" t="s">
        <v>460</v>
      </c>
    </row>
    <row r="139" spans="1:33" x14ac:dyDescent="0.4">
      <c r="A139" s="177" t="str">
        <f t="shared" si="9"/>
        <v xml:space="preserve">   </v>
      </c>
      <c r="B139" s="226" t="s">
        <v>461</v>
      </c>
      <c r="C139" s="62" t="s">
        <v>384</v>
      </c>
      <c r="D139" s="191"/>
      <c r="E139" s="174">
        <v>5</v>
      </c>
      <c r="F139" s="174"/>
      <c r="G139" s="174"/>
      <c r="H139" s="174" t="s">
        <v>151</v>
      </c>
      <c r="I139" s="174"/>
      <c r="J139" s="64" t="s">
        <v>27</v>
      </c>
      <c r="K139" s="153"/>
      <c r="L139" s="43"/>
      <c r="M139" s="8"/>
      <c r="N139" s="8" t="s">
        <v>241</v>
      </c>
      <c r="O139" s="36"/>
      <c r="P139" s="58"/>
      <c r="Q139" s="58"/>
      <c r="R139" s="58"/>
      <c r="S139" s="58"/>
      <c r="T139" s="58"/>
      <c r="U139" s="58"/>
      <c r="V139" s="187"/>
      <c r="AG139" s="4" t="s">
        <v>461</v>
      </c>
    </row>
    <row r="140" spans="1:33" x14ac:dyDescent="0.4">
      <c r="A140" s="177" t="str">
        <f t="shared" si="9"/>
        <v xml:space="preserve">   </v>
      </c>
      <c r="B140" s="226" t="s">
        <v>569</v>
      </c>
      <c r="C140" s="62" t="s">
        <v>256</v>
      </c>
      <c r="D140" s="191"/>
      <c r="E140" s="174">
        <v>5</v>
      </c>
      <c r="F140" s="174"/>
      <c r="G140" s="174"/>
      <c r="H140" s="174" t="s">
        <v>151</v>
      </c>
      <c r="I140" s="174"/>
      <c r="J140" s="175" t="s">
        <v>27</v>
      </c>
      <c r="K140" s="153"/>
      <c r="L140" s="43"/>
      <c r="M140" s="8"/>
      <c r="N140" s="8" t="s">
        <v>241</v>
      </c>
      <c r="O140" s="36"/>
      <c r="P140" s="58"/>
      <c r="Q140" s="58"/>
      <c r="R140" s="58"/>
      <c r="S140" s="58"/>
      <c r="T140" s="58"/>
      <c r="U140" s="58"/>
      <c r="V140" s="187"/>
      <c r="AG140" s="4" t="s">
        <v>569</v>
      </c>
    </row>
    <row r="141" spans="1:33" x14ac:dyDescent="0.4">
      <c r="A141" s="177" t="s">
        <v>230</v>
      </c>
      <c r="B141" s="226"/>
      <c r="C141" s="87" t="s">
        <v>195</v>
      </c>
      <c r="D141" s="207"/>
      <c r="E141" s="169">
        <v>5.0999999999999996</v>
      </c>
      <c r="F141" s="169"/>
      <c r="G141" s="169"/>
      <c r="H141" s="183"/>
      <c r="I141" s="183"/>
      <c r="J141" s="169" t="s">
        <v>221</v>
      </c>
      <c r="K141" s="146" t="s">
        <v>134</v>
      </c>
      <c r="L141" s="36"/>
      <c r="M141" s="58"/>
      <c r="N141" s="58"/>
      <c r="O141" s="58"/>
      <c r="P141" s="58"/>
      <c r="Q141" s="58"/>
      <c r="R141" s="58"/>
      <c r="S141" s="58"/>
      <c r="T141" s="58"/>
      <c r="U141" s="58"/>
      <c r="V141" s="187"/>
    </row>
    <row r="142" spans="1:33" ht="21" customHeight="1" x14ac:dyDescent="0.4">
      <c r="A142" s="177" t="str">
        <f t="shared" ref="A142:A150" si="10">IF(O142="Planning","Yes",IF(O142="Underway","Yes",IF(P142="Planning","Yes",IF(P142="Underway","Yes",IF(Q142="Planning","Yes",IF(Q142="Underway","Yes",IF(R142="Planning","Yes",IF(R142="Underway","Yes",IF(S142="Planning","Yes",IF(S142="Underway","Yes",IF(T142="Planning","Yes",IF(T142="Underway","Yes",IF(U142="Planning","Yes",IF(U142="Underway","Yes","   "))))))))))))))</f>
        <v xml:space="preserve">   </v>
      </c>
      <c r="B142" s="226" t="s">
        <v>570</v>
      </c>
      <c r="C142" s="105" t="s">
        <v>268</v>
      </c>
      <c r="D142" s="189" t="s">
        <v>306</v>
      </c>
      <c r="E142" s="192">
        <v>5.0999999999999996</v>
      </c>
      <c r="F142" s="219" t="s">
        <v>17</v>
      </c>
      <c r="G142" s="218"/>
      <c r="H142" s="192" t="s">
        <v>240</v>
      </c>
      <c r="I142" s="192"/>
      <c r="J142" s="192" t="s">
        <v>27</v>
      </c>
      <c r="K142" s="211"/>
      <c r="L142" s="36"/>
      <c r="M142" s="58"/>
      <c r="N142" s="8" t="s">
        <v>241</v>
      </c>
      <c r="O142" s="58"/>
      <c r="P142" s="58"/>
      <c r="Q142" s="58"/>
      <c r="R142" s="58"/>
      <c r="S142" s="58"/>
      <c r="T142" s="58"/>
      <c r="U142" s="58"/>
      <c r="V142" s="187"/>
      <c r="AG142" s="4" t="s">
        <v>570</v>
      </c>
    </row>
    <row r="143" spans="1:33" x14ac:dyDescent="0.4">
      <c r="A143" s="177" t="str">
        <f t="shared" si="10"/>
        <v xml:space="preserve">   </v>
      </c>
      <c r="B143" s="226" t="s">
        <v>571</v>
      </c>
      <c r="C143" s="62" t="s">
        <v>245</v>
      </c>
      <c r="D143" s="191" t="s">
        <v>321</v>
      </c>
      <c r="E143" s="182">
        <v>5.0999999999999996</v>
      </c>
      <c r="F143" s="169"/>
      <c r="G143" s="150"/>
      <c r="H143" s="182" t="s">
        <v>151</v>
      </c>
      <c r="I143" s="182"/>
      <c r="J143" s="182" t="s">
        <v>27</v>
      </c>
      <c r="K143" s="146"/>
      <c r="L143" s="36"/>
      <c r="M143" s="58"/>
      <c r="N143" s="8" t="s">
        <v>241</v>
      </c>
      <c r="O143" s="58"/>
      <c r="P143" s="58"/>
      <c r="Q143" s="58"/>
      <c r="R143" s="58"/>
      <c r="S143" s="58"/>
      <c r="T143" s="58"/>
      <c r="U143" s="58"/>
      <c r="V143" s="187"/>
      <c r="AG143" s="4" t="s">
        <v>571</v>
      </c>
    </row>
    <row r="144" spans="1:33" x14ac:dyDescent="0.4">
      <c r="A144" s="177" t="str">
        <f t="shared" si="10"/>
        <v xml:space="preserve">   </v>
      </c>
      <c r="B144" s="226" t="s">
        <v>462</v>
      </c>
      <c r="C144" s="62" t="s">
        <v>395</v>
      </c>
      <c r="D144" s="191" t="s">
        <v>306</v>
      </c>
      <c r="E144" s="182">
        <v>5.0999999999999996</v>
      </c>
      <c r="F144" s="169"/>
      <c r="G144" s="210" t="s">
        <v>17</v>
      </c>
      <c r="H144" s="182" t="s">
        <v>249</v>
      </c>
      <c r="I144" s="182"/>
      <c r="J144" s="182" t="s">
        <v>27</v>
      </c>
      <c r="K144" s="146"/>
      <c r="L144" s="36"/>
      <c r="M144" s="58"/>
      <c r="N144" s="8" t="s">
        <v>241</v>
      </c>
      <c r="O144" s="58"/>
      <c r="P144" s="58"/>
      <c r="Q144" s="58"/>
      <c r="R144" s="58"/>
      <c r="S144" s="58"/>
      <c r="T144" s="58"/>
      <c r="U144" s="58"/>
      <c r="V144" s="187"/>
      <c r="AG144" s="4" t="s">
        <v>462</v>
      </c>
    </row>
    <row r="145" spans="1:33" x14ac:dyDescent="0.4">
      <c r="A145" s="177" t="str">
        <f t="shared" si="10"/>
        <v>Yes</v>
      </c>
      <c r="B145" s="226" t="s">
        <v>572</v>
      </c>
      <c r="C145" s="62" t="s">
        <v>141</v>
      </c>
      <c r="D145" s="189" t="s">
        <v>296</v>
      </c>
      <c r="E145" s="63">
        <v>5.0999999999999996</v>
      </c>
      <c r="F145" s="63" t="s">
        <v>17</v>
      </c>
      <c r="G145" s="63" t="s">
        <v>17</v>
      </c>
      <c r="H145" s="63" t="s">
        <v>148</v>
      </c>
      <c r="I145" s="63"/>
      <c r="J145" s="64" t="s">
        <v>27</v>
      </c>
      <c r="K145" s="8"/>
      <c r="L145" s="43"/>
      <c r="M145" s="8"/>
      <c r="N145" s="8" t="s">
        <v>17</v>
      </c>
      <c r="O145" s="36" t="s">
        <v>107</v>
      </c>
      <c r="P145" s="58"/>
      <c r="Q145" s="58"/>
      <c r="R145" s="58"/>
      <c r="S145" s="58"/>
      <c r="T145" s="58"/>
      <c r="U145" s="58"/>
      <c r="V145" s="187" t="s">
        <v>312</v>
      </c>
      <c r="AG145" s="4" t="s">
        <v>572</v>
      </c>
    </row>
    <row r="146" spans="1:33" x14ac:dyDescent="0.4">
      <c r="A146" s="177" t="str">
        <f t="shared" si="10"/>
        <v xml:space="preserve">   </v>
      </c>
      <c r="B146" s="226" t="s">
        <v>573</v>
      </c>
      <c r="C146" s="62" t="s">
        <v>364</v>
      </c>
      <c r="D146" s="191" t="s">
        <v>296</v>
      </c>
      <c r="E146" s="182">
        <v>5.0999999999999996</v>
      </c>
      <c r="F146" s="169"/>
      <c r="G146" s="212" t="s">
        <v>17</v>
      </c>
      <c r="H146" s="182" t="s">
        <v>249</v>
      </c>
      <c r="I146" s="182"/>
      <c r="J146" s="182" t="s">
        <v>27</v>
      </c>
      <c r="K146" s="146"/>
      <c r="L146" s="36"/>
      <c r="M146" s="58"/>
      <c r="N146" s="8" t="s">
        <v>241</v>
      </c>
      <c r="O146" s="58"/>
      <c r="P146" s="58"/>
      <c r="Q146" s="58"/>
      <c r="R146" s="58"/>
      <c r="S146" s="58"/>
      <c r="T146" s="58"/>
      <c r="U146" s="58"/>
      <c r="V146" s="187"/>
      <c r="AG146" s="4" t="s">
        <v>573</v>
      </c>
    </row>
    <row r="147" spans="1:33" x14ac:dyDescent="0.4">
      <c r="A147" s="177" t="str">
        <f t="shared" si="10"/>
        <v>Yes</v>
      </c>
      <c r="B147" s="226" t="s">
        <v>574</v>
      </c>
      <c r="C147" s="62" t="s">
        <v>227</v>
      </c>
      <c r="D147" s="189" t="s">
        <v>295</v>
      </c>
      <c r="E147" s="63">
        <v>5.0999999999999996</v>
      </c>
      <c r="F147" s="63" t="s">
        <v>17</v>
      </c>
      <c r="G147" s="63" t="s">
        <v>17</v>
      </c>
      <c r="H147" s="63" t="s">
        <v>240</v>
      </c>
      <c r="I147" s="63"/>
      <c r="J147" s="64" t="s">
        <v>27</v>
      </c>
      <c r="K147" s="8"/>
      <c r="L147" s="43"/>
      <c r="M147" s="8"/>
      <c r="N147" s="8" t="s">
        <v>17</v>
      </c>
      <c r="O147" s="36"/>
      <c r="P147" s="58"/>
      <c r="Q147" s="58"/>
      <c r="R147" s="58" t="s">
        <v>107</v>
      </c>
      <c r="S147" s="58" t="s">
        <v>107</v>
      </c>
      <c r="T147" s="58" t="s">
        <v>108</v>
      </c>
      <c r="U147" s="58"/>
      <c r="V147" s="187"/>
      <c r="AG147" s="4" t="s">
        <v>574</v>
      </c>
    </row>
    <row r="148" spans="1:33" x14ac:dyDescent="0.4">
      <c r="A148" s="177" t="str">
        <f t="shared" si="10"/>
        <v xml:space="preserve">   </v>
      </c>
      <c r="B148" s="226" t="s">
        <v>575</v>
      </c>
      <c r="C148" s="62" t="s">
        <v>394</v>
      </c>
      <c r="D148" s="189" t="s">
        <v>363</v>
      </c>
      <c r="E148" s="63">
        <v>5.0999999999999996</v>
      </c>
      <c r="F148" s="63"/>
      <c r="G148" s="63" t="s">
        <v>17</v>
      </c>
      <c r="H148" s="63" t="s">
        <v>249</v>
      </c>
      <c r="I148" s="63"/>
      <c r="J148" s="64" t="s">
        <v>27</v>
      </c>
      <c r="K148" s="8"/>
      <c r="L148" s="43"/>
      <c r="M148" s="8"/>
      <c r="N148" s="8" t="s">
        <v>241</v>
      </c>
      <c r="O148" s="36"/>
      <c r="P148" s="58"/>
      <c r="Q148" s="58"/>
      <c r="R148" s="58"/>
      <c r="S148" s="58"/>
      <c r="T148" s="58"/>
      <c r="U148" s="58"/>
      <c r="V148" s="187"/>
      <c r="AG148" s="4" t="s">
        <v>575</v>
      </c>
    </row>
    <row r="149" spans="1:33" x14ac:dyDescent="0.4">
      <c r="A149" s="177" t="str">
        <f t="shared" si="10"/>
        <v>Yes</v>
      </c>
      <c r="B149" s="226" t="s">
        <v>463</v>
      </c>
      <c r="C149" s="62" t="s">
        <v>164</v>
      </c>
      <c r="D149" s="189" t="s">
        <v>321</v>
      </c>
      <c r="E149" s="63">
        <v>5.0999999999999996</v>
      </c>
      <c r="F149" s="63" t="s">
        <v>17</v>
      </c>
      <c r="G149" s="63" t="s">
        <v>17</v>
      </c>
      <c r="H149" s="63" t="s">
        <v>240</v>
      </c>
      <c r="I149" s="63"/>
      <c r="J149" s="64" t="s">
        <v>27</v>
      </c>
      <c r="K149" s="8"/>
      <c r="L149" s="43"/>
      <c r="M149" s="8"/>
      <c r="N149" s="8" t="s">
        <v>17</v>
      </c>
      <c r="O149" s="58" t="s">
        <v>107</v>
      </c>
      <c r="P149" s="58"/>
      <c r="Q149" s="55"/>
      <c r="R149" s="55"/>
      <c r="S149" s="55"/>
      <c r="T149" s="58"/>
      <c r="U149" s="58"/>
      <c r="V149" s="187"/>
      <c r="AG149" s="4" t="s">
        <v>463</v>
      </c>
    </row>
    <row r="150" spans="1:33" x14ac:dyDescent="0.4">
      <c r="A150" s="177" t="str">
        <f t="shared" si="10"/>
        <v xml:space="preserve">   </v>
      </c>
      <c r="B150" s="226" t="s">
        <v>464</v>
      </c>
      <c r="C150" s="62" t="s">
        <v>402</v>
      </c>
      <c r="D150" s="189" t="s">
        <v>403</v>
      </c>
      <c r="E150" s="63">
        <v>5.0999999999999996</v>
      </c>
      <c r="F150" s="63"/>
      <c r="G150" s="63" t="s">
        <v>17</v>
      </c>
      <c r="H150" s="63" t="s">
        <v>249</v>
      </c>
      <c r="I150" s="63"/>
      <c r="J150" s="64" t="s">
        <v>27</v>
      </c>
      <c r="K150" s="8"/>
      <c r="L150" s="43"/>
      <c r="M150" s="8"/>
      <c r="N150" s="8" t="s">
        <v>241</v>
      </c>
      <c r="O150" s="58"/>
      <c r="P150" s="58"/>
      <c r="Q150" s="55"/>
      <c r="R150" s="55"/>
      <c r="S150" s="55"/>
      <c r="T150" s="58"/>
      <c r="U150" s="58"/>
      <c r="V150" s="187"/>
      <c r="AG150" s="4" t="s">
        <v>464</v>
      </c>
    </row>
    <row r="151" spans="1:33" x14ac:dyDescent="0.4">
      <c r="A151" s="177" t="str">
        <f t="shared" ref="A151:A152" si="11">IF(O151="Planning","Yes",IF(O151="Underway","Yes",IF(P151="Planning","Yes",IF(P151="Underway","Yes",IF(Q151="Planning","Yes",IF(Q151="Underway","Yes",IF(R151="Planning","Yes",IF(R151="Underway","Yes",IF(S151="Planning","Yes",IF(S151="Underway","Yes",IF(T151="Planning","Yes",IF(T151="Underway","Yes",IF(U151="Planning","Yes",IF(U151="Underway","Yes","   "))))))))))))))</f>
        <v xml:space="preserve">   </v>
      </c>
      <c r="B151" s="226" t="s">
        <v>465</v>
      </c>
      <c r="C151" s="62" t="s">
        <v>340</v>
      </c>
      <c r="D151" s="189"/>
      <c r="E151" s="63">
        <v>5.0999999999999996</v>
      </c>
      <c r="F151" s="63" t="s">
        <v>17</v>
      </c>
      <c r="G151" s="63" t="s">
        <v>17</v>
      </c>
      <c r="H151" s="63" t="s">
        <v>240</v>
      </c>
      <c r="I151" s="63"/>
      <c r="J151" s="64" t="s">
        <v>27</v>
      </c>
      <c r="K151" s="8"/>
      <c r="L151" s="43"/>
      <c r="M151" s="8"/>
      <c r="N151" s="8" t="s">
        <v>241</v>
      </c>
      <c r="O151" s="58"/>
      <c r="P151" s="58"/>
      <c r="Q151" s="55"/>
      <c r="R151" s="55"/>
      <c r="S151" s="55"/>
      <c r="T151" s="58"/>
      <c r="U151" s="58"/>
      <c r="V151" s="187"/>
      <c r="AG151" s="4" t="s">
        <v>465</v>
      </c>
    </row>
    <row r="152" spans="1:33" x14ac:dyDescent="0.4">
      <c r="A152" s="177" t="str">
        <f t="shared" si="11"/>
        <v xml:space="preserve">   </v>
      </c>
      <c r="B152" s="226" t="s">
        <v>466</v>
      </c>
      <c r="C152" s="62" t="s">
        <v>212</v>
      </c>
      <c r="D152" s="189"/>
      <c r="E152" s="63">
        <v>5.0999999999999996</v>
      </c>
      <c r="F152" s="63"/>
      <c r="G152" s="63" t="s">
        <v>17</v>
      </c>
      <c r="H152" s="63" t="s">
        <v>151</v>
      </c>
      <c r="I152" s="63"/>
      <c r="J152" s="64" t="s">
        <v>27</v>
      </c>
      <c r="K152" s="8"/>
      <c r="L152" s="43"/>
      <c r="M152" s="8"/>
      <c r="N152" s="8" t="s">
        <v>17</v>
      </c>
      <c r="O152" s="58"/>
      <c r="P152" s="58"/>
      <c r="Q152" s="55"/>
      <c r="R152" s="55" t="s">
        <v>120</v>
      </c>
      <c r="S152" s="55" t="s">
        <v>120</v>
      </c>
      <c r="T152" s="58" t="s">
        <v>120</v>
      </c>
      <c r="U152" s="58"/>
      <c r="V152" s="187" t="s">
        <v>312</v>
      </c>
      <c r="AG152" s="4" t="s">
        <v>466</v>
      </c>
    </row>
    <row r="153" spans="1:33" x14ac:dyDescent="0.4">
      <c r="A153" s="177" t="str">
        <f>IF(O153="Planning","Yes",IF(O153="Underway","Yes",IF(P153="Planning","Yes",IF(P153="Underway","Yes",IF(Q153="Planning","Yes",IF(Q153="Underway","Yes",IF(R153="Planning","Yes",IF(R153="Underway","Yes",IF(S153="Planning","Yes",IF(S153="Underway","Yes",IF(T153="Planning","Yes",IF(T153="Underway","Yes",IF(U153="Planning","Yes",IF(U153="Underway","Yes","   "))))))))))))))</f>
        <v>Yes</v>
      </c>
      <c r="B153" s="226" t="s">
        <v>467</v>
      </c>
      <c r="C153" s="62" t="s">
        <v>269</v>
      </c>
      <c r="D153" s="189" t="s">
        <v>306</v>
      </c>
      <c r="E153" s="63">
        <v>5.0999999999999996</v>
      </c>
      <c r="F153" s="63" t="s">
        <v>17</v>
      </c>
      <c r="G153" s="63" t="s">
        <v>17</v>
      </c>
      <c r="H153" s="63" t="s">
        <v>240</v>
      </c>
      <c r="I153" s="63"/>
      <c r="J153" s="64" t="s">
        <v>27</v>
      </c>
      <c r="K153" s="8"/>
      <c r="L153" s="43"/>
      <c r="M153" s="8"/>
      <c r="N153" s="8" t="s">
        <v>17</v>
      </c>
      <c r="O153" s="58" t="s">
        <v>107</v>
      </c>
      <c r="P153" s="58"/>
      <c r="Q153" s="55"/>
      <c r="R153" s="55"/>
      <c r="S153" s="55"/>
      <c r="T153" s="58"/>
      <c r="U153" s="58" t="s">
        <v>107</v>
      </c>
      <c r="V153" s="187"/>
      <c r="AG153" s="4" t="s">
        <v>467</v>
      </c>
    </row>
    <row r="154" spans="1:33" x14ac:dyDescent="0.4">
      <c r="A154" s="177" t="str">
        <f t="shared" ref="A154:A157" si="12">IF(O154="Planning","Yes",IF(O154="Underway","Yes",IF(P154="Planning","Yes",IF(P154="Underway","Yes",IF(Q154="Planning","Yes",IF(Q154="Underway","Yes",IF(R154="Planning","Yes",IF(R154="Underway","Yes",IF(S154="Planning","Yes",IF(S154="Underway","Yes",IF(T154="Planning","Yes",IF(T154="Underway","Yes",IF(U154="Planning","Yes",IF(U154="Underway","Yes","   "))))))))))))))</f>
        <v>Yes</v>
      </c>
      <c r="B154" s="226" t="s">
        <v>468</v>
      </c>
      <c r="C154" s="62" t="s">
        <v>379</v>
      </c>
      <c r="D154" s="189"/>
      <c r="E154" s="63">
        <v>5.0999999999999996</v>
      </c>
      <c r="F154" s="63"/>
      <c r="G154" s="63" t="s">
        <v>17</v>
      </c>
      <c r="H154" s="63" t="s">
        <v>249</v>
      </c>
      <c r="I154" s="63"/>
      <c r="J154" s="64" t="s">
        <v>27</v>
      </c>
      <c r="K154" s="8"/>
      <c r="L154" s="43"/>
      <c r="M154" s="8"/>
      <c r="N154" s="8" t="s">
        <v>17</v>
      </c>
      <c r="O154" s="58"/>
      <c r="P154" s="58"/>
      <c r="Q154" s="55"/>
      <c r="R154" s="55" t="s">
        <v>108</v>
      </c>
      <c r="S154" s="55" t="s">
        <v>108</v>
      </c>
      <c r="T154" s="58" t="s">
        <v>108</v>
      </c>
      <c r="U154" s="58"/>
      <c r="V154" s="187"/>
      <c r="AG154" s="4" t="s">
        <v>468</v>
      </c>
    </row>
    <row r="155" spans="1:33" x14ac:dyDescent="0.4">
      <c r="A155" s="177" t="str">
        <f t="shared" si="12"/>
        <v xml:space="preserve">   </v>
      </c>
      <c r="B155" s="226" t="s">
        <v>576</v>
      </c>
      <c r="C155" s="62" t="s">
        <v>326</v>
      </c>
      <c r="D155" s="189" t="s">
        <v>328</v>
      </c>
      <c r="E155" s="63">
        <v>5.0999999999999996</v>
      </c>
      <c r="F155" s="63"/>
      <c r="G155" s="63"/>
      <c r="H155" s="63" t="s">
        <v>151</v>
      </c>
      <c r="I155" s="63"/>
      <c r="J155" s="64" t="s">
        <v>27</v>
      </c>
      <c r="K155" s="8"/>
      <c r="L155" s="43"/>
      <c r="M155" s="8"/>
      <c r="N155" s="8" t="s">
        <v>241</v>
      </c>
      <c r="O155" s="58"/>
      <c r="P155" s="58"/>
      <c r="Q155" s="55"/>
      <c r="R155" s="55"/>
      <c r="S155" s="55"/>
      <c r="T155" s="58"/>
      <c r="U155" s="58"/>
      <c r="V155" s="187"/>
      <c r="AG155" s="4" t="s">
        <v>576</v>
      </c>
    </row>
    <row r="156" spans="1:33" x14ac:dyDescent="0.4">
      <c r="A156" s="177" t="str">
        <f t="shared" si="12"/>
        <v xml:space="preserve">   </v>
      </c>
      <c r="B156" s="226" t="s">
        <v>577</v>
      </c>
      <c r="C156" s="62" t="s">
        <v>258</v>
      </c>
      <c r="D156" s="189"/>
      <c r="E156" s="63">
        <v>5.0999999999999996</v>
      </c>
      <c r="F156" s="63"/>
      <c r="G156" s="63"/>
      <c r="H156" s="63" t="s">
        <v>151</v>
      </c>
      <c r="I156" s="63"/>
      <c r="J156" s="64" t="s">
        <v>27</v>
      </c>
      <c r="K156" s="8"/>
      <c r="L156" s="43"/>
      <c r="M156" s="8"/>
      <c r="N156" s="8" t="s">
        <v>241</v>
      </c>
      <c r="O156" s="58"/>
      <c r="P156" s="58"/>
      <c r="Q156" s="55"/>
      <c r="R156" s="55"/>
      <c r="S156" s="55"/>
      <c r="T156" s="58"/>
      <c r="U156" s="58"/>
      <c r="V156" s="187"/>
      <c r="AG156" s="4" t="s">
        <v>577</v>
      </c>
    </row>
    <row r="157" spans="1:33" x14ac:dyDescent="0.4">
      <c r="A157" s="177" t="str">
        <f t="shared" si="12"/>
        <v xml:space="preserve">   </v>
      </c>
      <c r="B157" s="226" t="s">
        <v>469</v>
      </c>
      <c r="C157" s="62" t="s">
        <v>361</v>
      </c>
      <c r="D157" s="189" t="s">
        <v>321</v>
      </c>
      <c r="E157" s="63">
        <v>5.0999999999999996</v>
      </c>
      <c r="F157" s="63"/>
      <c r="G157" s="63" t="s">
        <v>17</v>
      </c>
      <c r="H157" s="63" t="s">
        <v>249</v>
      </c>
      <c r="I157" s="63"/>
      <c r="J157" s="64" t="s">
        <v>27</v>
      </c>
      <c r="K157" s="8"/>
      <c r="L157" s="43"/>
      <c r="M157" s="8"/>
      <c r="N157" s="8" t="s">
        <v>241</v>
      </c>
      <c r="O157" s="58"/>
      <c r="P157" s="58"/>
      <c r="Q157" s="55"/>
      <c r="R157" s="55"/>
      <c r="S157" s="55"/>
      <c r="T157" s="58"/>
      <c r="U157" s="58"/>
      <c r="V157" s="187"/>
      <c r="AG157" s="4" t="s">
        <v>469</v>
      </c>
    </row>
    <row r="158" spans="1:33" x14ac:dyDescent="0.4">
      <c r="A158" s="177" t="str">
        <f>IF(O158="Planning","Yes",IF(O158="Underway","Yes",IF(P158="Planning","Yes",IF(P158="Underway","Yes",IF(Q158="Planning","Yes",IF(Q158="Underway","Yes",IF(R158="Planning","Yes",IF(R158="Underway","Yes",IF(S158="Planning","Yes",IF(S158="Underway","Yes",IF(T158="Planning","Yes",IF(T158="Underway","Yes",IF(U158="Planning","Yes",IF(U158="Underway","Yes","   "))))))))))))))</f>
        <v>Yes</v>
      </c>
      <c r="B158" s="226" t="s">
        <v>578</v>
      </c>
      <c r="C158" s="62" t="s">
        <v>270</v>
      </c>
      <c r="D158" s="189" t="s">
        <v>306</v>
      </c>
      <c r="E158" s="63">
        <v>5.0999999999999996</v>
      </c>
      <c r="F158" s="63" t="s">
        <v>17</v>
      </c>
      <c r="G158" s="63" t="s">
        <v>17</v>
      </c>
      <c r="H158" s="63" t="s">
        <v>240</v>
      </c>
      <c r="I158" s="63"/>
      <c r="J158" s="64" t="s">
        <v>27</v>
      </c>
      <c r="K158" s="8"/>
      <c r="L158" s="43"/>
      <c r="M158" s="8"/>
      <c r="N158" s="8" t="s">
        <v>17</v>
      </c>
      <c r="O158" s="58"/>
      <c r="P158" s="58"/>
      <c r="Q158" s="55"/>
      <c r="R158" s="55"/>
      <c r="S158" s="55"/>
      <c r="T158" s="58"/>
      <c r="U158" s="58" t="s">
        <v>107</v>
      </c>
      <c r="V158" s="187"/>
      <c r="AG158" s="4" t="s">
        <v>578</v>
      </c>
    </row>
    <row r="159" spans="1:33" x14ac:dyDescent="0.4">
      <c r="A159" s="177" t="str">
        <f>IF(O159="Planning","Yes",IF(O159="Underway","Yes",IF(P159="Planning","Yes",IF(P159="Underway","Yes",IF(Q159="Planning","Yes",IF(Q159="Underway","Yes",IF(R159="Planning","Yes",IF(R159="Underway","Yes",IF(S159="Planning","Yes",IF(S159="Underway","Yes",IF(T159="Planning","Yes",IF(T159="Underway","Yes",IF(U159="Planning","Yes",IF(U159="Underway","Yes","   "))))))))))))))</f>
        <v xml:space="preserve">   </v>
      </c>
      <c r="B159" s="226" t="s">
        <v>470</v>
      </c>
      <c r="C159" s="62" t="s">
        <v>254</v>
      </c>
      <c r="D159" s="189"/>
      <c r="E159" s="63">
        <v>5.0999999999999996</v>
      </c>
      <c r="F159" s="63"/>
      <c r="G159" s="63" t="s">
        <v>17</v>
      </c>
      <c r="H159" s="63" t="s">
        <v>249</v>
      </c>
      <c r="I159" s="63"/>
      <c r="J159" s="64" t="s">
        <v>27</v>
      </c>
      <c r="K159" s="8"/>
      <c r="L159" s="43"/>
      <c r="M159" s="8"/>
      <c r="N159" s="8" t="s">
        <v>241</v>
      </c>
      <c r="O159" s="58"/>
      <c r="P159" s="58"/>
      <c r="Q159" s="55"/>
      <c r="R159" s="55"/>
      <c r="S159" s="55"/>
      <c r="T159" s="58"/>
      <c r="U159" s="58"/>
      <c r="V159" s="187"/>
      <c r="AG159" s="4" t="s">
        <v>470</v>
      </c>
    </row>
    <row r="160" spans="1:33" x14ac:dyDescent="0.4">
      <c r="A160" s="177" t="str">
        <f>IF(O160="Planning","Yes",IF(O160="Underway","Yes",IF(P160="Planning","Yes",IF(P160="Underway","Yes",IF(Q160="Planning","Yes",IF(Q160="Underway","Yes",IF(R160="Planning","Yes",IF(R160="Underway","Yes",IF(S160="Planning","Yes",IF(S160="Underway","Yes",IF(T160="Planning","Yes",IF(T160="Underway","Yes",IF(U160="Planning","Yes",IF(U160="Underway","Yes","   "))))))))))))))</f>
        <v xml:space="preserve">   </v>
      </c>
      <c r="B160" s="226" t="s">
        <v>579</v>
      </c>
      <c r="C160" s="62" t="s">
        <v>386</v>
      </c>
      <c r="D160" s="189" t="s">
        <v>387</v>
      </c>
      <c r="E160" s="63">
        <v>5.0999999999999996</v>
      </c>
      <c r="F160" s="63"/>
      <c r="G160" s="63" t="s">
        <v>17</v>
      </c>
      <c r="H160" s="63" t="s">
        <v>249</v>
      </c>
      <c r="I160" s="63"/>
      <c r="J160" s="64" t="s">
        <v>27</v>
      </c>
      <c r="K160" s="8"/>
      <c r="L160" s="43"/>
      <c r="M160" s="8"/>
      <c r="N160" s="8" t="s">
        <v>241</v>
      </c>
      <c r="O160" s="58"/>
      <c r="P160" s="58"/>
      <c r="Q160" s="55"/>
      <c r="R160" s="55"/>
      <c r="S160" s="55"/>
      <c r="T160" s="58"/>
      <c r="U160" s="58"/>
      <c r="V160" s="187"/>
      <c r="AG160" s="4" t="s">
        <v>579</v>
      </c>
    </row>
    <row r="161" spans="1:33" x14ac:dyDescent="0.4">
      <c r="A161" s="177" t="str">
        <f>IF(O161="Planning","Yes",IF(O161="Underway","Yes",IF(P161="Planning","Yes",IF(P161="Underway","Yes",IF(Q161="Planning","Yes",IF(Q161="Underway","Yes",IF(R161="Planning","Yes",IF(R161="Underway","Yes",IF(S161="Planning","Yes",IF(S161="Underway","Yes",IF(T161="Planning","Yes",IF(T161="Underway","Yes",IF(U161="Planning","Yes",IF(U161="Underway","Yes","   "))))))))))))))</f>
        <v>Yes</v>
      </c>
      <c r="B161" s="226" t="s">
        <v>471</v>
      </c>
      <c r="C161" s="62" t="s">
        <v>143</v>
      </c>
      <c r="D161" s="189"/>
      <c r="E161" s="63">
        <v>5.0999999999999996</v>
      </c>
      <c r="F161" s="63"/>
      <c r="G161" s="63" t="s">
        <v>17</v>
      </c>
      <c r="H161" s="63" t="s">
        <v>249</v>
      </c>
      <c r="I161" s="63"/>
      <c r="J161" s="64" t="s">
        <v>27</v>
      </c>
      <c r="K161" s="8"/>
      <c r="L161" s="43"/>
      <c r="M161" s="8"/>
      <c r="N161" s="8" t="s">
        <v>17</v>
      </c>
      <c r="O161" s="58"/>
      <c r="P161" s="58"/>
      <c r="Q161" s="55"/>
      <c r="R161" s="55"/>
      <c r="S161" s="55"/>
      <c r="T161" s="58"/>
      <c r="U161" s="58" t="s">
        <v>107</v>
      </c>
      <c r="V161" s="187"/>
      <c r="AG161" s="4" t="s">
        <v>471</v>
      </c>
    </row>
    <row r="162" spans="1:33" x14ac:dyDescent="0.4">
      <c r="A162" s="177" t="str">
        <f>IF(O162="Planning","Yes",IF(O162="Underway","Yes",IF(P162="Planning","Yes",IF(P162="Underway","Yes",IF(Q162="Planning","Yes",IF(Q162="Underway","Yes",IF(R162="Planning","Yes",IF(R162="Underway","Yes",IF(S162="Planning","Yes",IF(S162="Underway","Yes",IF(T162="Planning","Yes",IF(T162="Underway","Yes",IF(U162="Planning","Yes",IF(U162="Underway","Yes","   "))))))))))))))</f>
        <v>Yes</v>
      </c>
      <c r="B162" s="226" t="s">
        <v>580</v>
      </c>
      <c r="C162" s="62" t="s">
        <v>144</v>
      </c>
      <c r="D162" s="189" t="s">
        <v>321</v>
      </c>
      <c r="E162" s="63">
        <v>5.0999999999999996</v>
      </c>
      <c r="F162" s="63"/>
      <c r="G162" s="63" t="s">
        <v>17</v>
      </c>
      <c r="H162" s="63" t="s">
        <v>249</v>
      </c>
      <c r="I162" s="63"/>
      <c r="J162" s="64" t="s">
        <v>27</v>
      </c>
      <c r="K162" s="8"/>
      <c r="L162" s="43"/>
      <c r="M162" s="8"/>
      <c r="N162" s="8" t="s">
        <v>17</v>
      </c>
      <c r="O162" s="58"/>
      <c r="P162" s="58"/>
      <c r="Q162" s="55"/>
      <c r="R162" s="55"/>
      <c r="S162" s="55"/>
      <c r="T162" s="58"/>
      <c r="U162" s="58" t="s">
        <v>107</v>
      </c>
      <c r="V162" s="187"/>
      <c r="AG162" s="4" t="s">
        <v>580</v>
      </c>
    </row>
    <row r="163" spans="1:33" x14ac:dyDescent="0.4">
      <c r="A163" s="177" t="str">
        <f t="shared" ref="A163:A164" si="13">IF(O163="Planning","Yes",IF(O163="Underway","Yes",IF(P163="Planning","Yes",IF(P163="Underway","Yes",IF(Q163="Planning","Yes",IF(Q163="Underway","Yes",IF(R163="Planning","Yes",IF(R163="Underway","Yes",IF(S163="Planning","Yes",IF(S163="Underway","Yes",IF(T163="Planning","Yes",IF(T163="Underway","Yes",IF(U163="Planning","Yes",IF(U163="Underway","Yes","   "))))))))))))))</f>
        <v xml:space="preserve">   </v>
      </c>
      <c r="B163" s="226" t="s">
        <v>581</v>
      </c>
      <c r="C163" s="62" t="s">
        <v>360</v>
      </c>
      <c r="D163" s="189"/>
      <c r="E163" s="63">
        <v>5.0999999999999996</v>
      </c>
      <c r="F163" s="63"/>
      <c r="G163" s="63" t="s">
        <v>17</v>
      </c>
      <c r="H163" s="63" t="s">
        <v>249</v>
      </c>
      <c r="I163" s="63"/>
      <c r="J163" s="64" t="s">
        <v>27</v>
      </c>
      <c r="K163" s="8"/>
      <c r="L163" s="43"/>
      <c r="M163" s="8"/>
      <c r="N163" s="8" t="s">
        <v>241</v>
      </c>
      <c r="O163" s="58"/>
      <c r="P163" s="58"/>
      <c r="Q163" s="55"/>
      <c r="R163" s="55"/>
      <c r="S163" s="55"/>
      <c r="T163" s="58"/>
      <c r="U163" s="58"/>
      <c r="V163" s="187"/>
      <c r="AG163" s="4" t="s">
        <v>581</v>
      </c>
    </row>
    <row r="164" spans="1:33" x14ac:dyDescent="0.4">
      <c r="A164" s="177" t="str">
        <f t="shared" si="13"/>
        <v xml:space="preserve">   </v>
      </c>
      <c r="B164" s="226" t="s">
        <v>472</v>
      </c>
      <c r="C164" s="62" t="s">
        <v>358</v>
      </c>
      <c r="D164" s="189" t="s">
        <v>304</v>
      </c>
      <c r="E164" s="63">
        <v>5.0999999999999996</v>
      </c>
      <c r="F164" s="63"/>
      <c r="G164" s="63" t="s">
        <v>17</v>
      </c>
      <c r="H164" s="63" t="s">
        <v>249</v>
      </c>
      <c r="I164" s="63"/>
      <c r="J164" s="64" t="s">
        <v>27</v>
      </c>
      <c r="K164" s="8"/>
      <c r="L164" s="43"/>
      <c r="M164" s="8"/>
      <c r="N164" s="8" t="s">
        <v>241</v>
      </c>
      <c r="O164" s="58"/>
      <c r="P164" s="58"/>
      <c r="Q164" s="55"/>
      <c r="R164" s="55"/>
      <c r="S164" s="55"/>
      <c r="T164" s="58"/>
      <c r="U164" s="58"/>
      <c r="V164" s="187"/>
      <c r="AG164" s="4" t="s">
        <v>472</v>
      </c>
    </row>
    <row r="165" spans="1:33" x14ac:dyDescent="0.4">
      <c r="A165" s="177" t="str">
        <f>IF(O165="Planning","Yes",IF(O165="Underway","Yes",IF(P165="Planning","Yes",IF(P165="Underway","Yes",IF(Q165="Planning","Yes",IF(Q165="Underway","Yes",IF(R165="Planning","Yes",IF(R165="Underway","Yes",IF(S165="Planning","Yes",IF(S165="Underway","Yes",IF(T165="Planning","Yes",IF(T165="Underway","Yes",IF(U165="Planning","Yes",IF(U165="Underway","Yes","   "))))))))))))))</f>
        <v>Yes</v>
      </c>
      <c r="B165" s="226" t="s">
        <v>473</v>
      </c>
      <c r="C165" s="62" t="s">
        <v>341</v>
      </c>
      <c r="D165" s="189" t="s">
        <v>321</v>
      </c>
      <c r="E165" s="63">
        <v>5.0999999999999996</v>
      </c>
      <c r="F165" s="63" t="s">
        <v>17</v>
      </c>
      <c r="G165" s="63" t="s">
        <v>17</v>
      </c>
      <c r="H165" s="63" t="s">
        <v>240</v>
      </c>
      <c r="I165" s="63"/>
      <c r="J165" s="64" t="s">
        <v>27</v>
      </c>
      <c r="K165" s="8"/>
      <c r="L165" s="43"/>
      <c r="M165" s="8"/>
      <c r="N165" s="8" t="s">
        <v>17</v>
      </c>
      <c r="O165" s="36" t="s">
        <v>107</v>
      </c>
      <c r="P165" s="58"/>
      <c r="Q165" s="54"/>
      <c r="R165" s="54"/>
      <c r="S165" s="54"/>
      <c r="T165" s="58"/>
      <c r="U165" s="58" t="s">
        <v>107</v>
      </c>
      <c r="V165" s="187"/>
      <c r="AG165" s="4" t="s">
        <v>473</v>
      </c>
    </row>
    <row r="166" spans="1:33" x14ac:dyDescent="0.4">
      <c r="A166" s="177" t="str">
        <f>IF(O166="Planning","Yes",IF(O166="Underway","Yes",IF(P166="Planning","Yes",IF(P166="Underway","Yes",IF(Q166="Planning","Yes",IF(Q166="Underway","Yes",IF(R166="Planning","Yes",IF(R166="Underway","Yes",IF(S166="Planning","Yes",IF(S166="Underway","Yes",IF(T166="Planning","Yes",IF(T166="Underway","Yes",IF(U166="Planning","Yes",IF(U166="Underway","Yes","   "))))))))))))))</f>
        <v xml:space="preserve">   </v>
      </c>
      <c r="B166" s="226" t="s">
        <v>582</v>
      </c>
      <c r="C166" s="62" t="s">
        <v>393</v>
      </c>
      <c r="D166" s="189" t="s">
        <v>321</v>
      </c>
      <c r="E166" s="63">
        <v>5.0999999999999996</v>
      </c>
      <c r="F166" s="63"/>
      <c r="G166" s="63" t="s">
        <v>17</v>
      </c>
      <c r="H166" s="63" t="s">
        <v>249</v>
      </c>
      <c r="I166" s="63"/>
      <c r="J166" s="64" t="s">
        <v>27</v>
      </c>
      <c r="K166" s="8"/>
      <c r="L166" s="43"/>
      <c r="M166" s="8"/>
      <c r="N166" s="8" t="s">
        <v>241</v>
      </c>
      <c r="O166" s="36"/>
      <c r="P166" s="58"/>
      <c r="Q166" s="54"/>
      <c r="R166" s="54"/>
      <c r="S166" s="54"/>
      <c r="T166" s="58"/>
      <c r="U166" s="58"/>
      <c r="V166" s="187"/>
      <c r="AG166" s="4" t="s">
        <v>582</v>
      </c>
    </row>
    <row r="167" spans="1:33" x14ac:dyDescent="0.4">
      <c r="A167" s="177" t="str">
        <f>IF(O167="Planning","Yes",IF(O167="Underway","Yes",IF(P167="Planning","Yes",IF(P167="Underway","Yes",IF(Q167="Planning","Yes",IF(Q167="Underway","Yes",IF(R167="Planning","Yes",IF(R167="Underway","Yes",IF(S167="Planning","Yes",IF(S167="Underway","Yes",IF(T167="Planning","Yes",IF(T167="Underway","Yes",IF(U167="Planning","Yes",IF(U167="Underway","Yes","   "))))))))))))))</f>
        <v xml:space="preserve">   </v>
      </c>
      <c r="B167" s="226" t="s">
        <v>474</v>
      </c>
      <c r="C167" s="62" t="s">
        <v>382</v>
      </c>
      <c r="D167" s="189"/>
      <c r="E167" s="63">
        <v>5.0999999999999996</v>
      </c>
      <c r="F167" s="63"/>
      <c r="G167" s="63" t="s">
        <v>17</v>
      </c>
      <c r="H167" s="63" t="s">
        <v>249</v>
      </c>
      <c r="I167" s="63"/>
      <c r="J167" s="64" t="s">
        <v>27</v>
      </c>
      <c r="K167" s="8"/>
      <c r="L167" s="43"/>
      <c r="M167" s="8"/>
      <c r="N167" s="8" t="s">
        <v>241</v>
      </c>
      <c r="O167" s="36"/>
      <c r="P167" s="58"/>
      <c r="Q167" s="54"/>
      <c r="R167" s="54"/>
      <c r="S167" s="54"/>
      <c r="T167" s="58"/>
      <c r="U167" s="58"/>
      <c r="V167" s="187"/>
      <c r="AG167" s="4" t="s">
        <v>474</v>
      </c>
    </row>
    <row r="168" spans="1:33" x14ac:dyDescent="0.4">
      <c r="A168" s="177" t="str">
        <f t="shared" ref="A168:A174" si="14">IF(O168="Planning","Yes",IF(O168="Underway","Yes",IF(P168="Planning","Yes",IF(P168="Underway","Yes",IF(Q168="Planning","Yes",IF(Q168="Underway","Yes",IF(R168="Planning","Yes",IF(R168="Underway","Yes",IF(S168="Planning","Yes",IF(S168="Underway","Yes",IF(T168="Planning","Yes",IF(T168="Underway","Yes",IF(U168="Planning","Yes",IF(U168="Underway","Yes","   "))))))))))))))</f>
        <v xml:space="preserve">   </v>
      </c>
      <c r="B168" s="226" t="s">
        <v>475</v>
      </c>
      <c r="C168" s="62" t="s">
        <v>289</v>
      </c>
      <c r="D168" s="189"/>
      <c r="E168" s="63">
        <v>5.0999999999999996</v>
      </c>
      <c r="F168" s="63"/>
      <c r="G168" s="63" t="s">
        <v>17</v>
      </c>
      <c r="H168" s="63" t="s">
        <v>249</v>
      </c>
      <c r="I168" s="63"/>
      <c r="J168" s="64" t="s">
        <v>27</v>
      </c>
      <c r="K168" s="8"/>
      <c r="L168" s="43"/>
      <c r="M168" s="8"/>
      <c r="N168" s="8" t="s">
        <v>241</v>
      </c>
      <c r="O168" s="58"/>
      <c r="P168" s="58"/>
      <c r="Q168" s="55"/>
      <c r="R168" s="55"/>
      <c r="S168" s="55"/>
      <c r="T168" s="58"/>
      <c r="U168" s="58"/>
      <c r="V168" s="187"/>
      <c r="AG168" s="4" t="s">
        <v>475</v>
      </c>
    </row>
    <row r="169" spans="1:33" x14ac:dyDescent="0.4">
      <c r="A169" s="177" t="str">
        <f t="shared" si="14"/>
        <v>Yes</v>
      </c>
      <c r="B169" s="226" t="s">
        <v>583</v>
      </c>
      <c r="C169" s="62" t="s">
        <v>265</v>
      </c>
      <c r="D169" s="189" t="s">
        <v>321</v>
      </c>
      <c r="E169" s="63">
        <v>5.0999999999999996</v>
      </c>
      <c r="F169" s="63" t="s">
        <v>17</v>
      </c>
      <c r="G169" s="63" t="s">
        <v>17</v>
      </c>
      <c r="H169" s="63" t="s">
        <v>240</v>
      </c>
      <c r="I169" s="63"/>
      <c r="J169" s="64" t="s">
        <v>27</v>
      </c>
      <c r="K169" s="8"/>
      <c r="L169" s="43"/>
      <c r="M169" s="8"/>
      <c r="N169" s="8" t="s">
        <v>241</v>
      </c>
      <c r="O169" s="58" t="s">
        <v>108</v>
      </c>
      <c r="P169" s="58"/>
      <c r="Q169" s="55"/>
      <c r="R169" s="55" t="s">
        <v>107</v>
      </c>
      <c r="S169" s="55" t="s">
        <v>107</v>
      </c>
      <c r="T169" s="58" t="s">
        <v>107</v>
      </c>
      <c r="U169" s="58"/>
      <c r="V169" s="187"/>
      <c r="AG169" s="4" t="s">
        <v>583</v>
      </c>
    </row>
    <row r="170" spans="1:33" x14ac:dyDescent="0.4">
      <c r="A170" s="177" t="str">
        <f t="shared" si="14"/>
        <v xml:space="preserve">   </v>
      </c>
      <c r="B170" s="226" t="s">
        <v>476</v>
      </c>
      <c r="C170" s="62" t="s">
        <v>405</v>
      </c>
      <c r="D170" s="189" t="s">
        <v>406</v>
      </c>
      <c r="E170" s="63">
        <v>5.0999999999999996</v>
      </c>
      <c r="F170" s="63"/>
      <c r="G170" s="63" t="s">
        <v>17</v>
      </c>
      <c r="H170" s="63" t="s">
        <v>249</v>
      </c>
      <c r="I170" s="63"/>
      <c r="J170" s="64" t="s">
        <v>27</v>
      </c>
      <c r="K170" s="8"/>
      <c r="L170" s="43"/>
      <c r="M170" s="8"/>
      <c r="N170" s="8" t="s">
        <v>241</v>
      </c>
      <c r="O170" s="58"/>
      <c r="P170" s="58"/>
      <c r="Q170" s="55"/>
      <c r="R170" s="55"/>
      <c r="S170" s="55"/>
      <c r="T170" s="58"/>
      <c r="U170" s="58"/>
      <c r="V170" s="187"/>
      <c r="AG170" s="4" t="s">
        <v>476</v>
      </c>
    </row>
    <row r="171" spans="1:33" x14ac:dyDescent="0.4">
      <c r="A171" s="177" t="str">
        <f t="shared" si="14"/>
        <v xml:space="preserve">   </v>
      </c>
      <c r="B171" s="226" t="s">
        <v>477</v>
      </c>
      <c r="C171" s="62" t="s">
        <v>391</v>
      </c>
      <c r="D171" s="189" t="s">
        <v>392</v>
      </c>
      <c r="E171" s="63">
        <v>5.0999999999999996</v>
      </c>
      <c r="F171" s="63"/>
      <c r="G171" s="63" t="s">
        <v>17</v>
      </c>
      <c r="H171" s="63" t="s">
        <v>249</v>
      </c>
      <c r="I171" s="63"/>
      <c r="J171" s="64" t="s">
        <v>27</v>
      </c>
      <c r="K171" s="8"/>
      <c r="L171" s="43"/>
      <c r="M171" s="8"/>
      <c r="N171" s="8" t="s">
        <v>241</v>
      </c>
      <c r="O171" s="58"/>
      <c r="P171" s="58"/>
      <c r="Q171" s="55"/>
      <c r="R171" s="55"/>
      <c r="S171" s="55"/>
      <c r="T171" s="58"/>
      <c r="U171" s="58"/>
      <c r="V171" s="187"/>
      <c r="AG171" s="4" t="s">
        <v>477</v>
      </c>
    </row>
    <row r="172" spans="1:33" x14ac:dyDescent="0.4">
      <c r="A172" s="177" t="str">
        <f t="shared" si="14"/>
        <v xml:space="preserve">   </v>
      </c>
      <c r="B172" s="226" t="s">
        <v>584</v>
      </c>
      <c r="C172" s="62" t="s">
        <v>261</v>
      </c>
      <c r="D172" s="189" t="s">
        <v>295</v>
      </c>
      <c r="E172" s="63">
        <v>5.0999999999999996</v>
      </c>
      <c r="F172" s="63" t="s">
        <v>17</v>
      </c>
      <c r="G172" s="63" t="s">
        <v>17</v>
      </c>
      <c r="H172" s="63" t="s">
        <v>240</v>
      </c>
      <c r="I172" s="63"/>
      <c r="J172" s="64" t="s">
        <v>27</v>
      </c>
      <c r="K172" s="8"/>
      <c r="L172" s="43"/>
      <c r="M172" s="8"/>
      <c r="N172" s="8" t="s">
        <v>241</v>
      </c>
      <c r="O172" s="58"/>
      <c r="P172" s="58"/>
      <c r="Q172" s="55"/>
      <c r="R172" s="55"/>
      <c r="S172" s="55"/>
      <c r="T172" s="58"/>
      <c r="U172" s="58"/>
      <c r="V172" s="187" t="s">
        <v>262</v>
      </c>
      <c r="AG172" s="4" t="s">
        <v>584</v>
      </c>
    </row>
    <row r="173" spans="1:33" x14ac:dyDescent="0.4">
      <c r="A173" s="177" t="str">
        <f t="shared" si="14"/>
        <v>Yes</v>
      </c>
      <c r="B173" s="226" t="s">
        <v>478</v>
      </c>
      <c r="C173" s="62" t="s">
        <v>342</v>
      </c>
      <c r="D173" s="189"/>
      <c r="E173" s="63">
        <v>5.0999999999999996</v>
      </c>
      <c r="F173" s="63"/>
      <c r="G173" s="63"/>
      <c r="H173" s="63" t="s">
        <v>151</v>
      </c>
      <c r="I173" s="63"/>
      <c r="J173" s="64" t="s">
        <v>27</v>
      </c>
      <c r="K173" s="8"/>
      <c r="L173" s="43"/>
      <c r="M173" s="8"/>
      <c r="N173" s="8" t="s">
        <v>17</v>
      </c>
      <c r="O173" s="58"/>
      <c r="P173" s="58"/>
      <c r="Q173" s="55"/>
      <c r="R173" s="58" t="s">
        <v>107</v>
      </c>
      <c r="S173" s="58" t="s">
        <v>107</v>
      </c>
      <c r="T173" s="58" t="s">
        <v>107</v>
      </c>
      <c r="U173" s="58"/>
      <c r="V173" s="187"/>
      <c r="AG173" s="4" t="s">
        <v>478</v>
      </c>
    </row>
    <row r="174" spans="1:33" x14ac:dyDescent="0.4">
      <c r="A174" s="177" t="str">
        <f t="shared" si="14"/>
        <v>Yes</v>
      </c>
      <c r="B174" s="226" t="s">
        <v>479</v>
      </c>
      <c r="C174" s="62" t="s">
        <v>255</v>
      </c>
      <c r="D174" s="189"/>
      <c r="E174" s="63">
        <v>5.0999999999999996</v>
      </c>
      <c r="F174" s="63"/>
      <c r="G174" s="63" t="s">
        <v>17</v>
      </c>
      <c r="H174" s="63" t="s">
        <v>249</v>
      </c>
      <c r="I174" s="63"/>
      <c r="J174" s="64" t="s">
        <v>27</v>
      </c>
      <c r="K174" s="8"/>
      <c r="L174" s="43"/>
      <c r="M174" s="8"/>
      <c r="N174" s="8" t="s">
        <v>17</v>
      </c>
      <c r="O174" s="36"/>
      <c r="P174" s="58"/>
      <c r="Q174" s="214"/>
      <c r="R174" s="216" t="s">
        <v>108</v>
      </c>
      <c r="S174" s="216" t="s">
        <v>108</v>
      </c>
      <c r="T174" s="58" t="s">
        <v>108</v>
      </c>
      <c r="U174" s="58"/>
      <c r="V174" s="187"/>
      <c r="AG174" s="4" t="s">
        <v>479</v>
      </c>
    </row>
    <row r="175" spans="1:33" x14ac:dyDescent="0.4">
      <c r="A175" s="177" t="str">
        <f>IF(O175="Planning","Yes",IF(O175="Underway","Yes",IF(P175="Planning","Yes",IF(P175="Underway","Yes",IF(Q175="Planning","Yes",IF(Q175="Underway","Yes",IF(R175="Planning","Yes",IF(R175="Underway","Yes",IF(S175="Planning","Yes",IF(S175="Underway","Yes",IF(T175="Planning","Yes",IF(T175="Underway","Yes",IF(U175="Planning","Yes",IF(U175="Underway","Yes","   "))))))))))))))</f>
        <v>Yes</v>
      </c>
      <c r="B175" s="226" t="s">
        <v>585</v>
      </c>
      <c r="C175" s="62" t="s">
        <v>145</v>
      </c>
      <c r="D175" s="189" t="s">
        <v>306</v>
      </c>
      <c r="E175" s="63">
        <v>5.0999999999999996</v>
      </c>
      <c r="F175" s="63"/>
      <c r="G175" s="63" t="s">
        <v>17</v>
      </c>
      <c r="H175" s="63" t="s">
        <v>249</v>
      </c>
      <c r="I175" s="63"/>
      <c r="J175" s="64" t="s">
        <v>27</v>
      </c>
      <c r="K175" s="8"/>
      <c r="L175" s="43"/>
      <c r="M175" s="8"/>
      <c r="N175" s="8" t="s">
        <v>17</v>
      </c>
      <c r="O175" s="36" t="s">
        <v>107</v>
      </c>
      <c r="P175" s="58"/>
      <c r="Q175" s="54"/>
      <c r="R175" s="54"/>
      <c r="S175" s="54"/>
      <c r="T175" s="58"/>
      <c r="U175" s="58"/>
      <c r="V175" s="187"/>
      <c r="AG175" s="4" t="s">
        <v>585</v>
      </c>
    </row>
    <row r="176" spans="1:33" x14ac:dyDescent="0.4">
      <c r="A176" s="177" t="str">
        <f>IF(O176="Planning","Yes",IF(O176="Underway","Yes",IF(P176="Planning","Yes",IF(P176="Underway","Yes",IF(Q176="Planning","Yes",IF(Q176="Underway","Yes",IF(R176="Planning","Yes",IF(R176="Underway","Yes",IF(S176="Planning","Yes",IF(S176="Underway","Yes",IF(T176="Planning","Yes",IF(T176="Underway","Yes",IF(U176="Planning","Yes",IF(U176="Underway","Yes","   "))))))))))))))</f>
        <v xml:space="preserve">   </v>
      </c>
      <c r="B176" s="226" t="s">
        <v>480</v>
      </c>
      <c r="C176" s="62" t="s">
        <v>378</v>
      </c>
      <c r="D176" s="189" t="s">
        <v>377</v>
      </c>
      <c r="E176" s="63">
        <v>5.0999999999999996</v>
      </c>
      <c r="F176" s="63"/>
      <c r="G176" s="63" t="s">
        <v>17</v>
      </c>
      <c r="H176" s="63" t="s">
        <v>249</v>
      </c>
      <c r="I176" s="63"/>
      <c r="J176" s="64" t="s">
        <v>27</v>
      </c>
      <c r="K176" s="8"/>
      <c r="L176" s="43"/>
      <c r="M176" s="8"/>
      <c r="N176" s="8" t="s">
        <v>241</v>
      </c>
      <c r="O176" s="36"/>
      <c r="P176" s="58"/>
      <c r="Q176" s="54"/>
      <c r="R176" s="54"/>
      <c r="S176" s="54"/>
      <c r="T176" s="58"/>
      <c r="U176" s="58"/>
      <c r="V176" s="187"/>
      <c r="AG176" s="4" t="s">
        <v>480</v>
      </c>
    </row>
    <row r="177" spans="1:33" x14ac:dyDescent="0.4">
      <c r="A177" s="177" t="str">
        <f>IF(O177="Planning","Yes",IF(O177="Underway","Yes",IF(P177="Planning","Yes",IF(P177="Underway","Yes",IF(Q177="Planning","Yes",IF(Q177="Underway","Yes",IF(R177="Planning","Yes",IF(R177="Underway","Yes",IF(S177="Planning","Yes",IF(S177="Underway","Yes",IF(T177="Planning","Yes",IF(T177="Underway","Yes",IF(U177="Planning","Yes",IF(U177="Underway","Yes","   "))))))))))))))</f>
        <v xml:space="preserve">   </v>
      </c>
      <c r="B177" s="226" t="s">
        <v>481</v>
      </c>
      <c r="C177" s="62" t="s">
        <v>286</v>
      </c>
      <c r="D177" s="189" t="s">
        <v>306</v>
      </c>
      <c r="E177" s="63">
        <v>5.0999999999999996</v>
      </c>
      <c r="F177" s="63" t="s">
        <v>17</v>
      </c>
      <c r="G177" s="63" t="s">
        <v>17</v>
      </c>
      <c r="H177" s="63" t="s">
        <v>240</v>
      </c>
      <c r="I177" s="63"/>
      <c r="J177" s="64" t="s">
        <v>27</v>
      </c>
      <c r="K177" s="8"/>
      <c r="L177" s="43"/>
      <c r="M177" s="8"/>
      <c r="N177" s="8" t="s">
        <v>241</v>
      </c>
      <c r="O177" s="36"/>
      <c r="P177" s="58"/>
      <c r="Q177" s="54"/>
      <c r="R177" s="54"/>
      <c r="S177" s="54"/>
      <c r="T177" s="58"/>
      <c r="U177" s="58"/>
      <c r="V177" s="187"/>
      <c r="AG177" s="4" t="s">
        <v>481</v>
      </c>
    </row>
    <row r="178" spans="1:33" x14ac:dyDescent="0.4">
      <c r="A178" s="177" t="str">
        <f>IF(O178="Planning","Yes",IF(O178="Underway","Yes",IF(P178="Planning","Yes",IF(P178="Underway","Yes",IF(Q178="Planning","Yes",IF(Q178="Underway","Yes",IF(R178="Planning","Yes",IF(R178="Underway","Yes",IF(S178="Planning","Yes",IF(S178="Underway","Yes",IF(T178="Planning","Yes",IF(T178="Underway","Yes",IF(U178="Planning","Yes",IF(U178="Underway","Yes","   "))))))))))))))</f>
        <v xml:space="preserve">   </v>
      </c>
      <c r="B178" s="226" t="e">
        <v>#N/A</v>
      </c>
      <c r="C178" s="70" t="s">
        <v>370</v>
      </c>
      <c r="D178" s="209" t="s">
        <v>295</v>
      </c>
      <c r="E178" s="63">
        <v>5.0999999999999996</v>
      </c>
      <c r="F178" s="210"/>
      <c r="G178" s="210" t="s">
        <v>17</v>
      </c>
      <c r="H178" s="210" t="s">
        <v>249</v>
      </c>
      <c r="I178" s="210"/>
      <c r="J178" s="175" t="s">
        <v>27</v>
      </c>
      <c r="K178" s="153"/>
      <c r="L178" s="43"/>
      <c r="M178" s="8"/>
      <c r="N178" s="66" t="s">
        <v>241</v>
      </c>
      <c r="O178" s="36"/>
      <c r="P178" s="58"/>
      <c r="Q178" s="58"/>
      <c r="R178" s="58"/>
      <c r="S178" s="58"/>
      <c r="T178" s="58"/>
      <c r="U178" s="58"/>
      <c r="V178" s="187"/>
      <c r="W178" s="178"/>
      <c r="AG178" s="4" t="e">
        <v>#N/A</v>
      </c>
    </row>
    <row r="179" spans="1:33" x14ac:dyDescent="0.4">
      <c r="A179" s="177" t="str">
        <f t="shared" ref="A179:A184" si="15">IF(O179="Planning","Yes",IF(O179="Underway","Yes",IF(P179="Planning","Yes",IF(P179="Underway","Yes",IF(Q179="Planning","Yes",IF(Q179="Underway","Yes",IF(R179="Planning","Yes",IF(R179="Underway","Yes",IF(S179="Planning","Yes",IF(S179="Underway","Yes",IF(T179="Planning","Yes",IF(T179="Underway","Yes",IF(U179="Planning","Yes",IF(U179="Underway","Yes","   "))))))))))))))</f>
        <v xml:space="preserve">   </v>
      </c>
      <c r="B179" s="226" t="s">
        <v>586</v>
      </c>
      <c r="C179" s="62" t="s">
        <v>318</v>
      </c>
      <c r="D179" s="189" t="s">
        <v>304</v>
      </c>
      <c r="E179" s="63">
        <v>5.0999999999999996</v>
      </c>
      <c r="F179" s="63" t="s">
        <v>17</v>
      </c>
      <c r="G179" s="63"/>
      <c r="H179" s="63" t="s">
        <v>240</v>
      </c>
      <c r="I179" s="63"/>
      <c r="J179" s="64" t="s">
        <v>27</v>
      </c>
      <c r="K179" s="8"/>
      <c r="L179" s="43"/>
      <c r="M179" s="8"/>
      <c r="N179" s="8" t="s">
        <v>241</v>
      </c>
      <c r="O179" s="36"/>
      <c r="P179" s="58"/>
      <c r="Q179" s="54"/>
      <c r="R179" s="54"/>
      <c r="S179" s="54"/>
      <c r="T179" s="58"/>
      <c r="U179" s="58"/>
      <c r="V179" s="187"/>
      <c r="AG179" s="4" t="s">
        <v>586</v>
      </c>
    </row>
    <row r="180" spans="1:33" x14ac:dyDescent="0.4">
      <c r="A180" s="177" t="str">
        <f t="shared" si="15"/>
        <v xml:space="preserve">   </v>
      </c>
      <c r="B180" s="226" t="s">
        <v>482</v>
      </c>
      <c r="C180" s="62" t="s">
        <v>246</v>
      </c>
      <c r="D180" s="189" t="s">
        <v>295</v>
      </c>
      <c r="E180" s="63">
        <v>5.0999999999999996</v>
      </c>
      <c r="F180" s="63"/>
      <c r="G180" s="63" t="s">
        <v>17</v>
      </c>
      <c r="H180" s="63" t="s">
        <v>249</v>
      </c>
      <c r="I180" s="63"/>
      <c r="J180" s="64" t="s">
        <v>27</v>
      </c>
      <c r="K180" s="8"/>
      <c r="L180" s="43"/>
      <c r="M180" s="8"/>
      <c r="N180" s="8" t="s">
        <v>241</v>
      </c>
      <c r="O180" s="36"/>
      <c r="P180" s="58"/>
      <c r="Q180" s="54"/>
      <c r="R180" s="54"/>
      <c r="S180" s="54"/>
      <c r="T180" s="58"/>
      <c r="U180" s="58"/>
      <c r="V180" s="187"/>
      <c r="AG180" s="4" t="s">
        <v>482</v>
      </c>
    </row>
    <row r="181" spans="1:33" x14ac:dyDescent="0.4">
      <c r="A181" s="177" t="str">
        <f t="shared" si="15"/>
        <v xml:space="preserve">   </v>
      </c>
      <c r="B181" s="226" t="s">
        <v>483</v>
      </c>
      <c r="C181" s="62" t="s">
        <v>389</v>
      </c>
      <c r="D181" s="189" t="s">
        <v>390</v>
      </c>
      <c r="E181" s="63">
        <v>5.0999999999999996</v>
      </c>
      <c r="F181" s="63"/>
      <c r="G181" s="63" t="s">
        <v>17</v>
      </c>
      <c r="H181" s="63" t="s">
        <v>249</v>
      </c>
      <c r="I181" s="63"/>
      <c r="J181" s="64" t="s">
        <v>27</v>
      </c>
      <c r="K181" s="8"/>
      <c r="L181" s="43"/>
      <c r="M181" s="8"/>
      <c r="N181" s="8" t="s">
        <v>241</v>
      </c>
      <c r="O181" s="36"/>
      <c r="P181" s="58"/>
      <c r="Q181" s="54"/>
      <c r="R181" s="54"/>
      <c r="S181" s="54"/>
      <c r="T181" s="58"/>
      <c r="U181" s="58"/>
      <c r="V181" s="187"/>
      <c r="AG181" s="4" t="s">
        <v>483</v>
      </c>
    </row>
    <row r="182" spans="1:33" x14ac:dyDescent="0.4">
      <c r="A182" s="177" t="str">
        <f t="shared" si="15"/>
        <v xml:space="preserve">   </v>
      </c>
      <c r="B182" s="226" t="s">
        <v>587</v>
      </c>
      <c r="C182" s="62" t="s">
        <v>314</v>
      </c>
      <c r="D182" s="189"/>
      <c r="E182" s="63">
        <v>5.0999999999999996</v>
      </c>
      <c r="F182" s="63"/>
      <c r="G182" s="63" t="s">
        <v>17</v>
      </c>
      <c r="H182" s="63" t="s">
        <v>249</v>
      </c>
      <c r="I182" s="63"/>
      <c r="J182" s="64" t="s">
        <v>27</v>
      </c>
      <c r="K182" s="8"/>
      <c r="L182" s="43"/>
      <c r="M182" s="8"/>
      <c r="N182" s="8" t="s">
        <v>241</v>
      </c>
      <c r="O182" s="36"/>
      <c r="P182" s="58"/>
      <c r="Q182" s="54"/>
      <c r="R182" s="54"/>
      <c r="S182" s="54"/>
      <c r="T182" s="58"/>
      <c r="U182" s="58"/>
      <c r="V182" s="187"/>
      <c r="AG182" s="4" t="s">
        <v>587</v>
      </c>
    </row>
    <row r="183" spans="1:33" x14ac:dyDescent="0.4">
      <c r="A183" s="177" t="str">
        <f t="shared" si="15"/>
        <v xml:space="preserve">   </v>
      </c>
      <c r="B183" s="226" t="s">
        <v>588</v>
      </c>
      <c r="C183" s="62" t="s">
        <v>263</v>
      </c>
      <c r="D183" s="189" t="s">
        <v>321</v>
      </c>
      <c r="E183" s="63">
        <v>5.0999999999999996</v>
      </c>
      <c r="F183" s="63"/>
      <c r="G183" s="63"/>
      <c r="H183" s="63" t="s">
        <v>151</v>
      </c>
      <c r="I183" s="63"/>
      <c r="J183" s="64" t="s">
        <v>27</v>
      </c>
      <c r="K183" s="8"/>
      <c r="L183" s="43"/>
      <c r="M183" s="8"/>
      <c r="N183" s="8" t="s">
        <v>241</v>
      </c>
      <c r="O183" s="36"/>
      <c r="P183" s="58"/>
      <c r="Q183" s="54"/>
      <c r="R183" s="54"/>
      <c r="S183" s="54"/>
      <c r="T183" s="58"/>
      <c r="U183" s="58"/>
      <c r="V183" s="187" t="s">
        <v>262</v>
      </c>
      <c r="AG183" s="4" t="s">
        <v>588</v>
      </c>
    </row>
    <row r="184" spans="1:33" x14ac:dyDescent="0.4">
      <c r="A184" s="177" t="str">
        <f t="shared" si="15"/>
        <v xml:space="preserve">   </v>
      </c>
      <c r="B184" s="226" t="s">
        <v>484</v>
      </c>
      <c r="C184" s="62" t="s">
        <v>359</v>
      </c>
      <c r="D184" s="189" t="s">
        <v>295</v>
      </c>
      <c r="E184" s="63">
        <v>5.0999999999999996</v>
      </c>
      <c r="F184" s="63"/>
      <c r="G184" s="63"/>
      <c r="H184" s="63" t="s">
        <v>249</v>
      </c>
      <c r="I184" s="63"/>
      <c r="J184" s="64" t="s">
        <v>27</v>
      </c>
      <c r="K184" s="8"/>
      <c r="L184" s="43"/>
      <c r="M184" s="8"/>
      <c r="N184" s="8" t="s">
        <v>241</v>
      </c>
      <c r="O184" s="36"/>
      <c r="P184" s="58"/>
      <c r="Q184" s="54"/>
      <c r="R184" s="54"/>
      <c r="S184" s="54"/>
      <c r="T184" s="58"/>
      <c r="U184" s="58"/>
      <c r="V184" s="187"/>
      <c r="AG184" s="4" t="s">
        <v>484</v>
      </c>
    </row>
    <row r="185" spans="1:33" x14ac:dyDescent="0.4">
      <c r="A185" s="177" t="str">
        <f t="shared" ref="A185:A190" si="16">IF(O185="Planning","Yes",IF(O185="Underway","Yes",IF(P185="Planning","Yes",IF(P185="Underway","Yes",IF(Q185="Planning","Yes",IF(Q185="Underway","Yes",IF(R185="Planning","Yes",IF(R185="Underway","Yes",IF(S185="Planning","Yes",IF(S185="Underway","Yes",IF(T185="Planning","Yes",IF(T185="Underway","Yes",IF(U185="Planning","Yes",IF(U185="Underway","Yes","   "))))))))))))))</f>
        <v>Yes</v>
      </c>
      <c r="B185" s="226" t="s">
        <v>589</v>
      </c>
      <c r="C185" s="62" t="s">
        <v>167</v>
      </c>
      <c r="D185" s="189" t="s">
        <v>306</v>
      </c>
      <c r="E185" s="63">
        <v>5.0999999999999996</v>
      </c>
      <c r="F185" s="63" t="s">
        <v>17</v>
      </c>
      <c r="G185" s="63" t="s">
        <v>17</v>
      </c>
      <c r="H185" s="63" t="s">
        <v>240</v>
      </c>
      <c r="I185" s="63"/>
      <c r="J185" s="64" t="s">
        <v>27</v>
      </c>
      <c r="K185" s="8"/>
      <c r="L185" s="43"/>
      <c r="M185" s="8"/>
      <c r="N185" s="8" t="s">
        <v>17</v>
      </c>
      <c r="O185" s="36" t="s">
        <v>107</v>
      </c>
      <c r="P185" s="58"/>
      <c r="Q185" s="55"/>
      <c r="R185" s="55"/>
      <c r="S185" s="55"/>
      <c r="T185" s="58"/>
      <c r="U185" s="58" t="s">
        <v>107</v>
      </c>
      <c r="V185" s="187"/>
      <c r="AG185" s="4" t="s">
        <v>589</v>
      </c>
    </row>
    <row r="186" spans="1:33" x14ac:dyDescent="0.4">
      <c r="A186" s="177" t="str">
        <f t="shared" si="16"/>
        <v>Yes</v>
      </c>
      <c r="B186" s="226" t="s">
        <v>485</v>
      </c>
      <c r="C186" s="62" t="s">
        <v>247</v>
      </c>
      <c r="D186" s="189"/>
      <c r="E186" s="63">
        <v>5.0999999999999996</v>
      </c>
      <c r="F186" s="63"/>
      <c r="G186" s="63" t="s">
        <v>17</v>
      </c>
      <c r="H186" s="63" t="s">
        <v>249</v>
      </c>
      <c r="I186" s="63"/>
      <c r="J186" s="64" t="s">
        <v>27</v>
      </c>
      <c r="K186" s="8"/>
      <c r="L186" s="43"/>
      <c r="M186" s="8"/>
      <c r="N186" s="8" t="s">
        <v>17</v>
      </c>
      <c r="O186" s="36"/>
      <c r="P186" s="58"/>
      <c r="Q186" s="55"/>
      <c r="R186" s="58" t="s">
        <v>107</v>
      </c>
      <c r="S186" s="58" t="s">
        <v>107</v>
      </c>
      <c r="T186" s="58" t="s">
        <v>107</v>
      </c>
      <c r="U186" s="58"/>
      <c r="V186" s="187"/>
      <c r="AG186" s="4" t="s">
        <v>485</v>
      </c>
    </row>
    <row r="187" spans="1:33" x14ac:dyDescent="0.4">
      <c r="A187" s="177" t="str">
        <f t="shared" si="16"/>
        <v xml:space="preserve">   </v>
      </c>
      <c r="B187" s="226" t="s">
        <v>486</v>
      </c>
      <c r="C187" s="62" t="s">
        <v>407</v>
      </c>
      <c r="D187" s="189" t="s">
        <v>363</v>
      </c>
      <c r="E187" s="63">
        <v>5.0999999999999996</v>
      </c>
      <c r="F187" s="63"/>
      <c r="G187" s="63" t="s">
        <v>17</v>
      </c>
      <c r="H187" s="63" t="s">
        <v>249</v>
      </c>
      <c r="I187" s="63"/>
      <c r="J187" s="64" t="s">
        <v>27</v>
      </c>
      <c r="K187" s="8"/>
      <c r="L187" s="43"/>
      <c r="M187" s="8"/>
      <c r="N187" s="8" t="s">
        <v>241</v>
      </c>
      <c r="O187" s="36"/>
      <c r="P187" s="58"/>
      <c r="Q187" s="55"/>
      <c r="R187" s="58"/>
      <c r="S187" s="58"/>
      <c r="T187" s="58"/>
      <c r="U187" s="58"/>
      <c r="V187" s="187"/>
      <c r="AG187" s="4" t="s">
        <v>486</v>
      </c>
    </row>
    <row r="188" spans="1:33" x14ac:dyDescent="0.4">
      <c r="A188" s="177" t="str">
        <f t="shared" si="16"/>
        <v xml:space="preserve">   </v>
      </c>
      <c r="B188" s="226" t="s">
        <v>487</v>
      </c>
      <c r="C188" s="62" t="s">
        <v>369</v>
      </c>
      <c r="D188" s="189" t="s">
        <v>321</v>
      </c>
      <c r="E188" s="63">
        <v>5.0999999999999996</v>
      </c>
      <c r="F188" s="63"/>
      <c r="G188" s="63"/>
      <c r="H188" s="63" t="s">
        <v>249</v>
      </c>
      <c r="I188" s="63"/>
      <c r="J188" s="64" t="s">
        <v>27</v>
      </c>
      <c r="K188" s="8"/>
      <c r="L188" s="43"/>
      <c r="M188" s="8"/>
      <c r="N188" s="8" t="s">
        <v>241</v>
      </c>
      <c r="O188" s="36"/>
      <c r="P188" s="58"/>
      <c r="Q188" s="55"/>
      <c r="R188" s="55"/>
      <c r="S188" s="55"/>
      <c r="T188" s="58"/>
      <c r="U188" s="58"/>
      <c r="V188" s="187"/>
      <c r="AG188" s="4" t="s">
        <v>487</v>
      </c>
    </row>
    <row r="189" spans="1:33" x14ac:dyDescent="0.4">
      <c r="A189" s="177" t="str">
        <f t="shared" si="16"/>
        <v xml:space="preserve">   </v>
      </c>
      <c r="B189" s="226" t="e">
        <v>#N/A</v>
      </c>
      <c r="C189" s="62" t="s">
        <v>401</v>
      </c>
      <c r="D189" s="189" t="s">
        <v>295</v>
      </c>
      <c r="E189" s="63">
        <v>5.0999999999999996</v>
      </c>
      <c r="F189" s="63"/>
      <c r="G189" s="63" t="s">
        <v>17</v>
      </c>
      <c r="H189" s="63" t="s">
        <v>249</v>
      </c>
      <c r="I189" s="63"/>
      <c r="J189" s="64" t="s">
        <v>27</v>
      </c>
      <c r="K189" s="8"/>
      <c r="L189" s="43"/>
      <c r="M189" s="8"/>
      <c r="N189" s="8" t="s">
        <v>241</v>
      </c>
      <c r="O189" s="36"/>
      <c r="P189" s="58"/>
      <c r="Q189" s="55"/>
      <c r="R189" s="55"/>
      <c r="S189" s="55"/>
      <c r="T189" s="58"/>
      <c r="U189" s="58"/>
      <c r="V189" s="187"/>
      <c r="AG189" s="4" t="e">
        <v>#N/A</v>
      </c>
    </row>
    <row r="190" spans="1:33" x14ac:dyDescent="0.4">
      <c r="A190" s="177" t="str">
        <f t="shared" si="16"/>
        <v>Yes</v>
      </c>
      <c r="B190" s="226" t="s">
        <v>590</v>
      </c>
      <c r="C190" s="62" t="s">
        <v>168</v>
      </c>
      <c r="D190" s="189" t="s">
        <v>320</v>
      </c>
      <c r="E190" s="63">
        <v>5.0999999999999996</v>
      </c>
      <c r="F190" s="63"/>
      <c r="G190" s="63" t="s">
        <v>17</v>
      </c>
      <c r="H190" s="63" t="s">
        <v>249</v>
      </c>
      <c r="I190" s="63"/>
      <c r="J190" s="64" t="s">
        <v>27</v>
      </c>
      <c r="K190" s="8"/>
      <c r="L190" s="43"/>
      <c r="M190" s="8"/>
      <c r="N190" s="8" t="s">
        <v>17</v>
      </c>
      <c r="O190" s="36"/>
      <c r="P190" s="58"/>
      <c r="Q190" s="54"/>
      <c r="R190" s="55" t="s">
        <v>108</v>
      </c>
      <c r="S190" s="55" t="s">
        <v>108</v>
      </c>
      <c r="T190" s="55" t="s">
        <v>108</v>
      </c>
      <c r="U190" s="58" t="s">
        <v>107</v>
      </c>
      <c r="V190" s="187"/>
      <c r="AG190" s="4" t="s">
        <v>590</v>
      </c>
    </row>
    <row r="191" spans="1:33" x14ac:dyDescent="0.4">
      <c r="A191" s="177" t="str">
        <f t="shared" ref="A191:A195" si="17">IF(O191="Planning","Yes",IF(O191="Underway","Yes",IF(P191="Planning","Yes",IF(P191="Underway","Yes",IF(Q191="Planning","Yes",IF(Q191="Underway","Yes",IF(R191="Planning","Yes",IF(R191="Underway","Yes",IF(S191="Planning","Yes",IF(S191="Underway","Yes",IF(T191="Planning","Yes",IF(T191="Underway","Yes",IF(U191="Planning","Yes",IF(U191="Underway","Yes","   "))))))))))))))</f>
        <v xml:space="preserve">   </v>
      </c>
      <c r="B191" s="226" t="s">
        <v>488</v>
      </c>
      <c r="C191" s="62" t="s">
        <v>316</v>
      </c>
      <c r="D191" s="189" t="s">
        <v>317</v>
      </c>
      <c r="E191" s="63">
        <v>5.0999999999999996</v>
      </c>
      <c r="F191" s="63"/>
      <c r="G191" s="63"/>
      <c r="H191" s="63" t="s">
        <v>151</v>
      </c>
      <c r="I191" s="63"/>
      <c r="J191" s="64" t="s">
        <v>27</v>
      </c>
      <c r="K191" s="8"/>
      <c r="L191" s="43"/>
      <c r="M191" s="8"/>
      <c r="N191" s="8" t="s">
        <v>241</v>
      </c>
      <c r="O191" s="36"/>
      <c r="P191" s="58"/>
      <c r="Q191" s="54"/>
      <c r="R191" s="55"/>
      <c r="S191" s="55"/>
      <c r="T191" s="55"/>
      <c r="U191" s="58"/>
      <c r="V191" s="187"/>
      <c r="AG191" s="4" t="s">
        <v>488</v>
      </c>
    </row>
    <row r="192" spans="1:33" x14ac:dyDescent="0.4">
      <c r="A192" s="177" t="str">
        <f t="shared" si="17"/>
        <v xml:space="preserve">   </v>
      </c>
      <c r="B192" s="226" t="s">
        <v>489</v>
      </c>
      <c r="C192" s="62" t="s">
        <v>376</v>
      </c>
      <c r="D192" s="189" t="s">
        <v>377</v>
      </c>
      <c r="E192" s="63">
        <v>5.0999999999999996</v>
      </c>
      <c r="F192" s="63"/>
      <c r="G192" s="63" t="s">
        <v>17</v>
      </c>
      <c r="H192" s="63" t="s">
        <v>249</v>
      </c>
      <c r="I192" s="63"/>
      <c r="J192" s="64" t="s">
        <v>27</v>
      </c>
      <c r="K192" s="8"/>
      <c r="L192" s="43"/>
      <c r="M192" s="8"/>
      <c r="N192" s="8" t="s">
        <v>241</v>
      </c>
      <c r="O192" s="36"/>
      <c r="P192" s="58"/>
      <c r="Q192" s="54"/>
      <c r="R192" s="55"/>
      <c r="S192" s="55"/>
      <c r="T192" s="55"/>
      <c r="U192" s="58"/>
      <c r="V192" s="187"/>
      <c r="AG192" s="4" t="s">
        <v>489</v>
      </c>
    </row>
    <row r="193" spans="1:33" x14ac:dyDescent="0.4">
      <c r="A193" s="177" t="str">
        <f t="shared" si="17"/>
        <v xml:space="preserve">   </v>
      </c>
      <c r="B193" s="226" t="s">
        <v>490</v>
      </c>
      <c r="C193" s="62" t="s">
        <v>367</v>
      </c>
      <c r="D193" s="189" t="s">
        <v>298</v>
      </c>
      <c r="E193" s="63">
        <v>5.0999999999999996</v>
      </c>
      <c r="F193" s="63"/>
      <c r="G193" s="63" t="s">
        <v>17</v>
      </c>
      <c r="H193" s="63" t="s">
        <v>249</v>
      </c>
      <c r="I193" s="63"/>
      <c r="J193" s="64" t="s">
        <v>27</v>
      </c>
      <c r="K193" s="8"/>
      <c r="L193" s="43"/>
      <c r="M193" s="8"/>
      <c r="N193" s="8" t="s">
        <v>241</v>
      </c>
      <c r="O193" s="36"/>
      <c r="P193" s="58"/>
      <c r="Q193" s="54"/>
      <c r="R193" s="55"/>
      <c r="S193" s="55"/>
      <c r="T193" s="55"/>
      <c r="U193" s="58"/>
      <c r="V193" s="187"/>
      <c r="AG193" s="4" t="s">
        <v>490</v>
      </c>
    </row>
    <row r="194" spans="1:33" ht="21" customHeight="1" x14ac:dyDescent="0.4">
      <c r="A194" s="177" t="str">
        <f t="shared" si="17"/>
        <v>Yes</v>
      </c>
      <c r="B194" s="226" t="s">
        <v>591</v>
      </c>
      <c r="C194" s="62" t="s">
        <v>197</v>
      </c>
      <c r="D194" s="189"/>
      <c r="E194" s="63">
        <v>5.0999999999999996</v>
      </c>
      <c r="F194" s="63"/>
      <c r="G194" s="63" t="s">
        <v>17</v>
      </c>
      <c r="H194" s="63" t="s">
        <v>249</v>
      </c>
      <c r="I194" s="63"/>
      <c r="J194" s="64" t="s">
        <v>27</v>
      </c>
      <c r="K194" s="8"/>
      <c r="L194" s="43"/>
      <c r="M194" s="8"/>
      <c r="N194" s="8" t="s">
        <v>17</v>
      </c>
      <c r="O194" s="36"/>
      <c r="P194" s="58"/>
      <c r="Q194" s="54"/>
      <c r="R194" s="55" t="s">
        <v>108</v>
      </c>
      <c r="S194" s="55" t="s">
        <v>108</v>
      </c>
      <c r="T194" s="55" t="s">
        <v>108</v>
      </c>
      <c r="U194" s="58"/>
      <c r="V194" s="187"/>
      <c r="AG194" s="4" t="s">
        <v>591</v>
      </c>
    </row>
    <row r="195" spans="1:33" x14ac:dyDescent="0.4">
      <c r="A195" s="177" t="str">
        <f t="shared" si="17"/>
        <v xml:space="preserve">   </v>
      </c>
      <c r="B195" s="226" t="s">
        <v>491</v>
      </c>
      <c r="C195" s="62" t="s">
        <v>266</v>
      </c>
      <c r="D195" s="189" t="s">
        <v>304</v>
      </c>
      <c r="E195" s="63">
        <v>5.0999999999999996</v>
      </c>
      <c r="F195" s="63" t="s">
        <v>17</v>
      </c>
      <c r="G195" s="63" t="s">
        <v>17</v>
      </c>
      <c r="H195" s="63" t="s">
        <v>240</v>
      </c>
      <c r="I195" s="63"/>
      <c r="J195" s="64" t="s">
        <v>27</v>
      </c>
      <c r="K195" s="8"/>
      <c r="L195" s="43"/>
      <c r="M195" s="8"/>
      <c r="N195" s="8" t="s">
        <v>241</v>
      </c>
      <c r="O195" s="36"/>
      <c r="P195" s="58"/>
      <c r="Q195" s="54"/>
      <c r="R195" s="55"/>
      <c r="S195" s="55"/>
      <c r="T195" s="55"/>
      <c r="U195" s="58"/>
      <c r="V195" s="187" t="s">
        <v>264</v>
      </c>
      <c r="AG195" s="4" t="s">
        <v>491</v>
      </c>
    </row>
    <row r="196" spans="1:33" x14ac:dyDescent="0.4">
      <c r="A196" s="177" t="str">
        <f>IF(O196="Planning","Yes",IF(O196="Underway","Yes",IF(P196="Planning","Yes",IF(P196="Underway","Yes",IF(Q196="Planning","Yes",IF(Q196="Underway","Yes",IF(R196="Planning","Yes",IF(R196="Underway","Yes",IF(S196="Planning","Yes",IF(S196="Underway","Yes",IF(T196="Planning","Yes",IF(T196="Underway","Yes",IF(U196="Planning","Yes",IF(U196="Underway","Yes","   "))))))))))))))</f>
        <v>Yes</v>
      </c>
      <c r="B196" s="226" t="s">
        <v>592</v>
      </c>
      <c r="C196" s="62" t="s">
        <v>215</v>
      </c>
      <c r="D196" s="189" t="s">
        <v>304</v>
      </c>
      <c r="E196" s="63">
        <v>5.0999999999999996</v>
      </c>
      <c r="F196" s="63" t="s">
        <v>17</v>
      </c>
      <c r="G196" s="63" t="s">
        <v>17</v>
      </c>
      <c r="H196" s="63" t="s">
        <v>240</v>
      </c>
      <c r="I196" s="63"/>
      <c r="J196" s="64" t="s">
        <v>27</v>
      </c>
      <c r="K196" s="8"/>
      <c r="L196" s="43"/>
      <c r="M196" s="8"/>
      <c r="N196" s="8" t="s">
        <v>17</v>
      </c>
      <c r="O196" s="36" t="s">
        <v>107</v>
      </c>
      <c r="P196" s="58"/>
      <c r="Q196" s="55"/>
      <c r="R196" s="55"/>
      <c r="S196" s="55"/>
      <c r="T196" s="58"/>
      <c r="U196" s="58"/>
      <c r="V196" s="187"/>
      <c r="AG196" s="4" t="s">
        <v>592</v>
      </c>
    </row>
    <row r="197" spans="1:33" x14ac:dyDescent="0.4">
      <c r="A197" s="177" t="str">
        <f t="shared" ref="A197:A212" si="18">IF(O197="Planning","Yes",IF(O197="Underway","Yes",IF(P197="Planning","Yes",IF(P197="Underway","Yes",IF(Q197="Planning","Yes",IF(Q197="Underway","Yes",IF(R197="Planning","Yes",IF(R197="Underway","Yes",IF(S197="Planning","Yes",IF(S197="Underway","Yes",IF(T197="Planning","Yes",IF(T197="Underway","Yes",IF(U197="Planning","Yes",IF(U197="Underway","Yes","   "))))))))))))))</f>
        <v>Yes</v>
      </c>
      <c r="B197" s="226" t="s">
        <v>492</v>
      </c>
      <c r="C197" s="62" t="s">
        <v>169</v>
      </c>
      <c r="D197" s="189" t="s">
        <v>321</v>
      </c>
      <c r="E197" s="63">
        <v>5.0999999999999996</v>
      </c>
      <c r="F197" s="63" t="s">
        <v>17</v>
      </c>
      <c r="G197" s="63" t="s">
        <v>17</v>
      </c>
      <c r="H197" s="63" t="s">
        <v>240</v>
      </c>
      <c r="I197" s="63"/>
      <c r="J197" s="64" t="s">
        <v>27</v>
      </c>
      <c r="K197" s="8"/>
      <c r="L197" s="43"/>
      <c r="M197" s="8"/>
      <c r="N197" s="8" t="s">
        <v>17</v>
      </c>
      <c r="O197" s="36" t="s">
        <v>107</v>
      </c>
      <c r="P197" s="58"/>
      <c r="Q197" s="53"/>
      <c r="R197" s="53"/>
      <c r="S197" s="53"/>
      <c r="T197" s="58"/>
      <c r="U197" s="58" t="s">
        <v>107</v>
      </c>
      <c r="V197" s="187"/>
      <c r="AG197" s="4" t="s">
        <v>492</v>
      </c>
    </row>
    <row r="198" spans="1:33" x14ac:dyDescent="0.4">
      <c r="A198" s="177" t="str">
        <f>IF(O198="Planning","Yes",IF(O198="Underway","Yes",IF(P198="Planning","Yes",IF(P198="Underway","Yes",IF(Q198="Planning","Yes",IF(Q198="Underway","Yes",IF(R198="Planning","Yes",IF(R198="Underway","Yes",IF(S198="Planning","Yes",IF(S198="Underway","Yes",IF(T198="Planning","Yes",IF(T198="Underway","Yes",IF(U198="Planning","Yes",IF(U198="Underway","Yes","   "))))))))))))))</f>
        <v xml:space="preserve">   </v>
      </c>
      <c r="B198" s="226" t="s">
        <v>593</v>
      </c>
      <c r="C198" s="62" t="s">
        <v>248</v>
      </c>
      <c r="D198" s="189"/>
      <c r="E198" s="63">
        <v>5.0999999999999996</v>
      </c>
      <c r="F198" s="63"/>
      <c r="G198" s="63"/>
      <c r="H198" s="63" t="s">
        <v>151</v>
      </c>
      <c r="I198" s="63"/>
      <c r="J198" s="64" t="s">
        <v>27</v>
      </c>
      <c r="K198" s="8"/>
      <c r="L198" s="43"/>
      <c r="M198" s="8"/>
      <c r="N198" s="8" t="s">
        <v>17</v>
      </c>
      <c r="O198" s="36"/>
      <c r="P198" s="58"/>
      <c r="Q198" s="55"/>
      <c r="R198" s="55"/>
      <c r="S198" s="55"/>
      <c r="T198" s="58"/>
      <c r="U198" s="58"/>
      <c r="V198" s="187"/>
      <c r="AG198" s="4" t="s">
        <v>593</v>
      </c>
    </row>
    <row r="199" spans="1:33" x14ac:dyDescent="0.4">
      <c r="A199" s="177" t="str">
        <f t="shared" si="18"/>
        <v>Yes</v>
      </c>
      <c r="B199" s="226" t="s">
        <v>594</v>
      </c>
      <c r="C199" s="62" t="s">
        <v>213</v>
      </c>
      <c r="D199" s="189" t="s">
        <v>295</v>
      </c>
      <c r="E199" s="63">
        <v>5.0999999999999996</v>
      </c>
      <c r="F199" s="63" t="s">
        <v>17</v>
      </c>
      <c r="G199" s="63" t="s">
        <v>17</v>
      </c>
      <c r="H199" s="63" t="s">
        <v>240</v>
      </c>
      <c r="I199" s="63"/>
      <c r="J199" s="64" t="s">
        <v>27</v>
      </c>
      <c r="K199" s="8"/>
      <c r="L199" s="43"/>
      <c r="M199" s="8"/>
      <c r="N199" s="8" t="s">
        <v>17</v>
      </c>
      <c r="O199" s="58" t="s">
        <v>107</v>
      </c>
      <c r="P199" s="58"/>
      <c r="Q199" s="55"/>
      <c r="R199" s="55" t="s">
        <v>120</v>
      </c>
      <c r="S199" s="55" t="s">
        <v>107</v>
      </c>
      <c r="T199" s="58" t="s">
        <v>107</v>
      </c>
      <c r="U199" s="58"/>
      <c r="V199" s="187"/>
      <c r="AG199" s="4" t="s">
        <v>594</v>
      </c>
    </row>
    <row r="200" spans="1:33" x14ac:dyDescent="0.4">
      <c r="A200" s="177" t="str">
        <f t="shared" si="18"/>
        <v xml:space="preserve">   </v>
      </c>
      <c r="B200" s="226" t="s">
        <v>595</v>
      </c>
      <c r="C200" s="62" t="s">
        <v>362</v>
      </c>
      <c r="D200" s="189" t="s">
        <v>363</v>
      </c>
      <c r="E200" s="63">
        <v>5.0999999999999996</v>
      </c>
      <c r="F200" s="63"/>
      <c r="G200" s="63" t="s">
        <v>17</v>
      </c>
      <c r="H200" s="63" t="s">
        <v>249</v>
      </c>
      <c r="I200" s="63"/>
      <c r="J200" s="64" t="s">
        <v>27</v>
      </c>
      <c r="K200" s="8"/>
      <c r="L200" s="43"/>
      <c r="M200" s="8"/>
      <c r="N200" s="8" t="s">
        <v>241</v>
      </c>
      <c r="O200" s="36"/>
      <c r="P200" s="36"/>
      <c r="Q200" s="36"/>
      <c r="R200" s="36"/>
      <c r="S200" s="36"/>
      <c r="T200" s="58"/>
      <c r="U200" s="58"/>
      <c r="V200" s="187"/>
      <c r="AG200" s="4" t="s">
        <v>595</v>
      </c>
    </row>
    <row r="201" spans="1:33" x14ac:dyDescent="0.4">
      <c r="A201" s="177" t="str">
        <f t="shared" si="18"/>
        <v>Yes</v>
      </c>
      <c r="B201" s="226" t="s">
        <v>493</v>
      </c>
      <c r="C201" s="62" t="s">
        <v>214</v>
      </c>
      <c r="D201" s="189" t="s">
        <v>306</v>
      </c>
      <c r="E201" s="63">
        <v>5.0999999999999996</v>
      </c>
      <c r="F201" s="63" t="s">
        <v>17</v>
      </c>
      <c r="G201" s="63" t="s">
        <v>17</v>
      </c>
      <c r="H201" s="63" t="s">
        <v>240</v>
      </c>
      <c r="I201" s="63"/>
      <c r="J201" s="64" t="s">
        <v>27</v>
      </c>
      <c r="K201" s="8"/>
      <c r="L201" s="43"/>
      <c r="M201" s="8"/>
      <c r="N201" s="8" t="s">
        <v>17</v>
      </c>
      <c r="O201" s="36" t="s">
        <v>107</v>
      </c>
      <c r="P201" s="58"/>
      <c r="Q201" s="53"/>
      <c r="R201" s="55" t="s">
        <v>107</v>
      </c>
      <c r="S201" s="55" t="s">
        <v>107</v>
      </c>
      <c r="T201" s="58" t="s">
        <v>107</v>
      </c>
      <c r="U201" s="58"/>
      <c r="V201" s="187"/>
      <c r="AG201" s="4" t="s">
        <v>493</v>
      </c>
    </row>
    <row r="202" spans="1:33" x14ac:dyDescent="0.4">
      <c r="A202" s="177" t="str">
        <f t="shared" si="18"/>
        <v xml:space="preserve">   </v>
      </c>
      <c r="B202" s="226" t="s">
        <v>494</v>
      </c>
      <c r="C202" s="62" t="s">
        <v>381</v>
      </c>
      <c r="D202" s="191" t="s">
        <v>363</v>
      </c>
      <c r="E202" s="174">
        <v>5.0999999999999996</v>
      </c>
      <c r="F202" s="174"/>
      <c r="G202" s="174" t="s">
        <v>17</v>
      </c>
      <c r="H202" s="174" t="s">
        <v>249</v>
      </c>
      <c r="I202" s="174"/>
      <c r="J202" s="175" t="s">
        <v>27</v>
      </c>
      <c r="K202" s="8"/>
      <c r="L202" s="43"/>
      <c r="M202" s="8"/>
      <c r="N202" s="153" t="s">
        <v>241</v>
      </c>
      <c r="O202" s="36"/>
      <c r="P202" s="58"/>
      <c r="Q202" s="53"/>
      <c r="R202" s="55"/>
      <c r="S202" s="55"/>
      <c r="T202" s="58"/>
      <c r="U202" s="58"/>
      <c r="V202" s="187"/>
      <c r="AG202" s="4" t="s">
        <v>494</v>
      </c>
    </row>
    <row r="203" spans="1:33" x14ac:dyDescent="0.4">
      <c r="A203" s="177" t="str">
        <f t="shared" si="18"/>
        <v xml:space="preserve">   </v>
      </c>
      <c r="B203" s="226" t="s">
        <v>596</v>
      </c>
      <c r="C203" s="62" t="s">
        <v>404</v>
      </c>
      <c r="D203" s="191" t="s">
        <v>304</v>
      </c>
      <c r="E203" s="174">
        <v>5.0999999999999996</v>
      </c>
      <c r="F203" s="174"/>
      <c r="G203" s="174" t="s">
        <v>17</v>
      </c>
      <c r="H203" s="174" t="s">
        <v>249</v>
      </c>
      <c r="I203" s="174"/>
      <c r="J203" s="175" t="s">
        <v>27</v>
      </c>
      <c r="K203" s="8"/>
      <c r="L203" s="43"/>
      <c r="M203" s="8"/>
      <c r="N203" s="153" t="s">
        <v>241</v>
      </c>
      <c r="O203" s="36"/>
      <c r="P203" s="58"/>
      <c r="Q203" s="53"/>
      <c r="R203" s="55"/>
      <c r="S203" s="55"/>
      <c r="T203" s="58"/>
      <c r="U203" s="58"/>
      <c r="V203" s="187"/>
      <c r="AG203" s="4" t="s">
        <v>596</v>
      </c>
    </row>
    <row r="204" spans="1:33" x14ac:dyDescent="0.4">
      <c r="A204" s="177" t="str">
        <f t="shared" si="18"/>
        <v xml:space="preserve">   </v>
      </c>
      <c r="B204" s="226"/>
      <c r="C204" s="87" t="s">
        <v>353</v>
      </c>
      <c r="D204" s="191"/>
      <c r="E204" s="174"/>
      <c r="F204" s="174"/>
      <c r="G204" s="174"/>
      <c r="H204" s="174"/>
      <c r="I204" s="174"/>
      <c r="J204" s="175"/>
      <c r="K204" s="8"/>
      <c r="L204" s="43"/>
      <c r="M204" s="8"/>
      <c r="N204" s="153"/>
      <c r="O204" s="36"/>
      <c r="P204" s="58"/>
      <c r="Q204" s="53"/>
      <c r="R204" s="53"/>
      <c r="S204" s="53"/>
      <c r="T204" s="58"/>
      <c r="U204" s="58"/>
      <c r="V204" s="187"/>
    </row>
    <row r="205" spans="1:33" x14ac:dyDescent="0.4">
      <c r="A205" s="177" t="str">
        <f t="shared" si="18"/>
        <v xml:space="preserve">   </v>
      </c>
      <c r="B205" s="226" t="s">
        <v>495</v>
      </c>
      <c r="C205" s="105" t="s">
        <v>408</v>
      </c>
      <c r="D205" s="222" t="s">
        <v>409</v>
      </c>
      <c r="E205" s="174">
        <v>5.0999999999999996</v>
      </c>
      <c r="F205" s="174"/>
      <c r="G205" s="174"/>
      <c r="H205" s="174" t="s">
        <v>151</v>
      </c>
      <c r="I205" s="174"/>
      <c r="J205" s="175" t="s">
        <v>329</v>
      </c>
      <c r="K205" s="8"/>
      <c r="L205" s="43"/>
      <c r="M205" s="8"/>
      <c r="N205" s="153" t="s">
        <v>241</v>
      </c>
      <c r="O205" s="36"/>
      <c r="P205" s="58"/>
      <c r="Q205" s="53"/>
      <c r="R205" s="53"/>
      <c r="S205" s="53"/>
      <c r="T205" s="58"/>
      <c r="U205" s="58"/>
      <c r="V205" s="187"/>
      <c r="AG205" s="4" t="s">
        <v>495</v>
      </c>
    </row>
    <row r="206" spans="1:33" x14ac:dyDescent="0.4">
      <c r="A206" s="177" t="str">
        <f t="shared" si="18"/>
        <v xml:space="preserve">   </v>
      </c>
      <c r="B206" s="226" t="s">
        <v>496</v>
      </c>
      <c r="C206" s="62" t="s">
        <v>343</v>
      </c>
      <c r="D206" s="189" t="s">
        <v>315</v>
      </c>
      <c r="E206" s="63">
        <v>5.2</v>
      </c>
      <c r="F206" s="63"/>
      <c r="G206" s="63"/>
      <c r="H206" s="63" t="s">
        <v>151</v>
      </c>
      <c r="I206" s="63"/>
      <c r="J206" s="64" t="s">
        <v>329</v>
      </c>
      <c r="K206" s="8"/>
      <c r="L206" s="43"/>
      <c r="M206" s="8"/>
      <c r="N206" s="8" t="s">
        <v>241</v>
      </c>
      <c r="O206" s="36"/>
      <c r="P206" s="58"/>
      <c r="Q206" s="54"/>
      <c r="R206" s="55"/>
      <c r="S206" s="55"/>
      <c r="T206" s="55"/>
      <c r="U206" s="58"/>
      <c r="V206" s="187"/>
      <c r="AG206" s="4" t="s">
        <v>496</v>
      </c>
    </row>
    <row r="207" spans="1:33" x14ac:dyDescent="0.4">
      <c r="A207" s="177" t="str">
        <f t="shared" si="18"/>
        <v xml:space="preserve">   </v>
      </c>
      <c r="B207" s="226" t="s">
        <v>597</v>
      </c>
      <c r="C207" s="62" t="s">
        <v>346</v>
      </c>
      <c r="D207" s="189"/>
      <c r="E207" s="63">
        <v>5.2</v>
      </c>
      <c r="F207" s="63"/>
      <c r="G207" s="63"/>
      <c r="H207" s="63" t="s">
        <v>151</v>
      </c>
      <c r="I207" s="63"/>
      <c r="J207" s="64" t="s">
        <v>329</v>
      </c>
      <c r="K207" s="8"/>
      <c r="L207" s="43"/>
      <c r="M207" s="8"/>
      <c r="N207" s="8" t="s">
        <v>241</v>
      </c>
      <c r="O207" s="36"/>
      <c r="P207" s="58"/>
      <c r="Q207" s="54"/>
      <c r="R207" s="55"/>
      <c r="S207" s="55"/>
      <c r="T207" s="55"/>
      <c r="U207" s="58"/>
      <c r="V207" s="187"/>
      <c r="AG207" s="4" t="s">
        <v>597</v>
      </c>
    </row>
    <row r="208" spans="1:33" x14ac:dyDescent="0.4">
      <c r="A208" s="177" t="str">
        <f t="shared" si="18"/>
        <v xml:space="preserve">   </v>
      </c>
      <c r="B208" s="226" t="s">
        <v>598</v>
      </c>
      <c r="C208" s="62" t="s">
        <v>345</v>
      </c>
      <c r="D208" s="189" t="s">
        <v>315</v>
      </c>
      <c r="E208" s="63">
        <v>5.2</v>
      </c>
      <c r="F208" s="63"/>
      <c r="G208" s="63"/>
      <c r="H208" s="63" t="s">
        <v>151</v>
      </c>
      <c r="I208" s="63"/>
      <c r="J208" s="64" t="s">
        <v>329</v>
      </c>
      <c r="K208" s="8"/>
      <c r="L208" s="43"/>
      <c r="M208" s="8"/>
      <c r="N208" s="8" t="s">
        <v>241</v>
      </c>
      <c r="O208" s="58"/>
      <c r="P208" s="58"/>
      <c r="Q208" s="55"/>
      <c r="R208" s="55"/>
      <c r="S208" s="55"/>
      <c r="T208" s="58"/>
      <c r="U208" s="58"/>
      <c r="V208" s="187"/>
      <c r="AG208" s="4" t="s">
        <v>598</v>
      </c>
    </row>
    <row r="209" spans="1:33" x14ac:dyDescent="0.4">
      <c r="A209" s="177" t="str">
        <f t="shared" si="18"/>
        <v xml:space="preserve">   </v>
      </c>
      <c r="B209" s="226" t="s">
        <v>497</v>
      </c>
      <c r="C209" s="62" t="s">
        <v>344</v>
      </c>
      <c r="D209" s="189" t="s">
        <v>315</v>
      </c>
      <c r="E209" s="63">
        <v>5.2</v>
      </c>
      <c r="F209" s="63"/>
      <c r="G209" s="63"/>
      <c r="H209" s="63" t="s">
        <v>151</v>
      </c>
      <c r="I209" s="63"/>
      <c r="J209" s="64" t="s">
        <v>329</v>
      </c>
      <c r="K209" s="8"/>
      <c r="L209" s="43"/>
      <c r="M209" s="8"/>
      <c r="N209" s="8" t="s">
        <v>241</v>
      </c>
      <c r="O209" s="58"/>
      <c r="P209" s="58"/>
      <c r="Q209" s="55"/>
      <c r="R209" s="55"/>
      <c r="S209" s="55"/>
      <c r="T209" s="58"/>
      <c r="U209" s="58"/>
      <c r="V209" s="187"/>
      <c r="AG209" s="4" t="s">
        <v>497</v>
      </c>
    </row>
    <row r="210" spans="1:33" x14ac:dyDescent="0.4">
      <c r="A210" s="177" t="s">
        <v>230</v>
      </c>
      <c r="B210" s="226"/>
      <c r="C210" s="87" t="s">
        <v>48</v>
      </c>
      <c r="D210" s="207"/>
      <c r="E210" s="169">
        <v>6</v>
      </c>
      <c r="F210" s="169"/>
      <c r="G210" s="169"/>
      <c r="H210" s="183"/>
      <c r="I210" s="183"/>
      <c r="J210" s="169" t="s">
        <v>221</v>
      </c>
      <c r="K210" s="8"/>
      <c r="L210" s="43"/>
      <c r="M210" s="8"/>
      <c r="N210" s="182" t="s">
        <v>134</v>
      </c>
      <c r="O210" s="36"/>
      <c r="P210" s="58"/>
      <c r="Q210" s="58"/>
      <c r="R210" s="58"/>
      <c r="S210" s="58"/>
      <c r="T210" s="58"/>
      <c r="U210" s="58"/>
      <c r="V210" s="187"/>
    </row>
    <row r="211" spans="1:33" ht="42" x14ac:dyDescent="0.4">
      <c r="A211" s="177" t="str">
        <f>IF(O211="Planning","Yes",IF(O211="Underway","Yes",IF(P211="Planning","Yes",IF(P211="Underway","Yes",IF(Q211="Planning","Yes",IF(Q211="Underway","Yes",IF(R211="Planning","Yes",IF(R211="Underway","Yes",IF(S211="Planning","Yes",IF(S211="Underway","Yes",IF(T211="Planning","Yes",IF(T211="Underway","Yes",IF(U211="Planning","Yes",IF(U211="Underway","Yes","   "))))))))))))))</f>
        <v>Yes</v>
      </c>
      <c r="B211" s="226" t="s">
        <v>599</v>
      </c>
      <c r="C211" s="62" t="s">
        <v>219</v>
      </c>
      <c r="D211" s="189"/>
      <c r="E211" s="63">
        <v>6</v>
      </c>
      <c r="F211" s="63"/>
      <c r="G211" s="63"/>
      <c r="H211" s="63" t="s">
        <v>149</v>
      </c>
      <c r="I211" s="63"/>
      <c r="J211" s="64" t="s">
        <v>162</v>
      </c>
      <c r="K211" s="8"/>
      <c r="L211" s="43"/>
      <c r="M211" s="8"/>
      <c r="N211" s="8" t="s">
        <v>17</v>
      </c>
      <c r="O211" s="36"/>
      <c r="P211" s="58"/>
      <c r="Q211" s="58" t="s">
        <v>108</v>
      </c>
      <c r="R211" s="58"/>
      <c r="S211" s="58"/>
      <c r="T211" s="58"/>
      <c r="U211" s="58"/>
      <c r="V211" s="187"/>
      <c r="AG211" s="4" t="s">
        <v>599</v>
      </c>
    </row>
    <row r="212" spans="1:33" x14ac:dyDescent="0.4">
      <c r="A212" s="177" t="str">
        <f t="shared" si="18"/>
        <v xml:space="preserve">   </v>
      </c>
      <c r="B212" s="226" t="e">
        <v>#N/A</v>
      </c>
      <c r="C212" s="105" t="s">
        <v>21</v>
      </c>
      <c r="D212" s="207"/>
      <c r="E212" s="182">
        <v>6</v>
      </c>
      <c r="F212" s="169"/>
      <c r="G212" s="169"/>
      <c r="H212" s="183"/>
      <c r="I212" s="183"/>
      <c r="J212" s="182" t="s">
        <v>279</v>
      </c>
      <c r="K212" s="8"/>
      <c r="L212" s="43"/>
      <c r="M212" s="8"/>
      <c r="N212" s="182"/>
      <c r="O212" s="36"/>
      <c r="P212" s="58"/>
      <c r="Q212" s="58"/>
      <c r="R212" s="58"/>
      <c r="S212" s="58"/>
      <c r="T212" s="58"/>
      <c r="U212" s="58"/>
      <c r="V212" s="187"/>
      <c r="AG212" s="4" t="e">
        <v>#N/A</v>
      </c>
    </row>
    <row r="213" spans="1:33" x14ac:dyDescent="0.4">
      <c r="A213" s="177" t="str">
        <f>IF(O213="Planning","Yes",IF(O213="Underway","Yes",IF(P213="Planning","Yes",IF(P213="Underway","Yes",IF(Q213="Planning","Yes",IF(Q213="Underway","yes",IF(R213="Planning","Yes",IF(R213="Underway","Yes",IF(S213="Planning","Yes",IF(S213="Underway","Yes",IF(T213="Planning","Yes",IF(T213="Underway","Yes",IF(U213="Planning","Yes",IF(U213="Underway","Yes","   "))))))))))))))</f>
        <v xml:space="preserve">   </v>
      </c>
      <c r="B213" s="226" t="s">
        <v>498</v>
      </c>
      <c r="C213" s="62" t="s">
        <v>278</v>
      </c>
      <c r="D213" s="189"/>
      <c r="E213" s="63">
        <v>6</v>
      </c>
      <c r="F213" s="63"/>
      <c r="G213" s="63"/>
      <c r="H213" s="63" t="s">
        <v>238</v>
      </c>
      <c r="I213" s="63"/>
      <c r="J213" s="64" t="s">
        <v>279</v>
      </c>
      <c r="K213" s="8"/>
      <c r="L213" s="43"/>
      <c r="M213" s="8"/>
      <c r="N213" s="66" t="s">
        <v>17</v>
      </c>
      <c r="O213" s="36"/>
      <c r="P213" s="58"/>
      <c r="Q213" s="36"/>
      <c r="R213" s="55" t="s">
        <v>120</v>
      </c>
      <c r="S213" s="55" t="s">
        <v>120</v>
      </c>
      <c r="T213" s="58" t="s">
        <v>120</v>
      </c>
      <c r="U213" s="58"/>
      <c r="V213" s="187"/>
      <c r="AG213" s="4" t="s">
        <v>498</v>
      </c>
    </row>
    <row r="214" spans="1:33" x14ac:dyDescent="0.4">
      <c r="A214" s="177" t="s">
        <v>17</v>
      </c>
      <c r="B214" s="226" t="s">
        <v>499</v>
      </c>
      <c r="C214" s="62" t="s">
        <v>347</v>
      </c>
      <c r="D214" s="189"/>
      <c r="E214" s="63">
        <v>6</v>
      </c>
      <c r="F214" s="63"/>
      <c r="G214" s="63"/>
      <c r="H214" s="63" t="s">
        <v>151</v>
      </c>
      <c r="I214" s="63"/>
      <c r="J214" s="64" t="s">
        <v>279</v>
      </c>
      <c r="K214" s="8"/>
      <c r="L214" s="43"/>
      <c r="M214" s="8"/>
      <c r="N214" s="66" t="s">
        <v>17</v>
      </c>
      <c r="O214" s="36"/>
      <c r="P214" s="58"/>
      <c r="Q214" s="55"/>
      <c r="R214" s="55" t="s">
        <v>120</v>
      </c>
      <c r="S214" s="55" t="s">
        <v>120</v>
      </c>
      <c r="T214" s="58" t="s">
        <v>120</v>
      </c>
      <c r="U214" s="58"/>
      <c r="V214" s="187" t="s">
        <v>373</v>
      </c>
      <c r="AG214" s="4" t="s">
        <v>499</v>
      </c>
    </row>
    <row r="215" spans="1:33" x14ac:dyDescent="0.4">
      <c r="A215" s="177" t="str">
        <f>IF(O215="Planning","Yes",IF(O215="Underway","Yes",IF(P215="Planning","Yes",IF(P215="Underway","Yes",IF(Q215="Planning","Yes",IF(Q215="Underway","Yes",IF(R215="Planning","Yes",IF(R215="Underway","Yes",IF(S215="Planning","Yes",IF(S215="Underway","Yes",IF(T215="Planning","Yes",IF(T215="Underway","Yes",IF(U215="Planning","Yes",IF(U215="Underway","Yes","   "))))))))))))))</f>
        <v>Yes</v>
      </c>
      <c r="B215" s="226" t="s">
        <v>500</v>
      </c>
      <c r="C215" s="62" t="s">
        <v>109</v>
      </c>
      <c r="D215" s="189"/>
      <c r="E215" s="63">
        <v>6</v>
      </c>
      <c r="F215" s="63"/>
      <c r="G215" s="63"/>
      <c r="H215" s="63" t="s">
        <v>151</v>
      </c>
      <c r="I215" s="63"/>
      <c r="J215" s="64" t="s">
        <v>110</v>
      </c>
      <c r="K215" s="8"/>
      <c r="L215" s="43"/>
      <c r="M215" s="8"/>
      <c r="N215" s="66" t="s">
        <v>17</v>
      </c>
      <c r="O215" s="36"/>
      <c r="P215" s="58"/>
      <c r="Q215" s="55"/>
      <c r="R215" s="58" t="s">
        <v>107</v>
      </c>
      <c r="S215" s="58" t="s">
        <v>107</v>
      </c>
      <c r="T215" s="58" t="s">
        <v>107</v>
      </c>
      <c r="U215" s="58"/>
      <c r="V215" s="187"/>
      <c r="AG215" s="4" t="s">
        <v>500</v>
      </c>
    </row>
    <row r="216" spans="1:33" x14ac:dyDescent="0.4">
      <c r="A216" s="177" t="str">
        <f t="shared" ref="A216:A218" si="19">IF(O216="Planning","Yes",IF(O216="Underway","Yes",IF(P216="Planning","Yes",IF(P216="Underway","Yes",IF(Q216="Planning","Yes",IF(Q216="Underway","Yes",IF(R216="Planning","Yes",IF(R216="Underway","Yes",IF(S216="Planning","Yes",IF(S216="Underway","Yes",IF(T216="Planning","Yes",IF(T216="Underway","Yes",IF(U216="Planning","Yes",IF(U216="Underway","Yes","   "))))))))))))))</f>
        <v>Yes</v>
      </c>
      <c r="B216" s="226" t="s">
        <v>501</v>
      </c>
      <c r="C216" s="62" t="s">
        <v>348</v>
      </c>
      <c r="D216" s="189"/>
      <c r="E216" s="63">
        <v>6</v>
      </c>
      <c r="F216" s="63"/>
      <c r="G216" s="63"/>
      <c r="H216" s="63" t="s">
        <v>151</v>
      </c>
      <c r="I216" s="63"/>
      <c r="J216" s="64" t="s">
        <v>279</v>
      </c>
      <c r="K216" s="8"/>
      <c r="L216" s="43"/>
      <c r="M216" s="8"/>
      <c r="N216" s="66" t="s">
        <v>17</v>
      </c>
      <c r="O216" s="36"/>
      <c r="P216" s="58"/>
      <c r="Q216" s="55"/>
      <c r="R216" s="58" t="s">
        <v>107</v>
      </c>
      <c r="S216" s="58" t="s">
        <v>107</v>
      </c>
      <c r="T216" s="58" t="s">
        <v>107</v>
      </c>
      <c r="U216" s="58"/>
      <c r="V216" s="187"/>
      <c r="AG216" s="4" t="s">
        <v>501</v>
      </c>
    </row>
    <row r="217" spans="1:33" x14ac:dyDescent="0.4">
      <c r="A217" s="177" t="str">
        <f t="shared" si="19"/>
        <v xml:space="preserve">   </v>
      </c>
      <c r="B217" s="226" t="e">
        <v>#N/A</v>
      </c>
      <c r="C217" s="62" t="s">
        <v>349</v>
      </c>
      <c r="D217" s="189"/>
      <c r="E217" s="63">
        <v>6</v>
      </c>
      <c r="F217" s="63"/>
      <c r="G217" s="63"/>
      <c r="H217" s="63" t="s">
        <v>151</v>
      </c>
      <c r="I217" s="63"/>
      <c r="J217" s="64" t="s">
        <v>279</v>
      </c>
      <c r="K217" s="8"/>
      <c r="L217" s="43"/>
      <c r="M217" s="8"/>
      <c r="N217" s="66" t="s">
        <v>241</v>
      </c>
      <c r="O217" s="36"/>
      <c r="P217" s="58"/>
      <c r="Q217" s="55"/>
      <c r="R217" s="55"/>
      <c r="S217" s="55"/>
      <c r="T217" s="58"/>
      <c r="U217" s="58"/>
      <c r="V217" s="187"/>
      <c r="AG217" s="4" t="e">
        <v>#N/A</v>
      </c>
    </row>
    <row r="218" spans="1:33" x14ac:dyDescent="0.4">
      <c r="A218" s="177" t="str">
        <f t="shared" si="19"/>
        <v xml:space="preserve">   </v>
      </c>
      <c r="B218" s="226" t="s">
        <v>502</v>
      </c>
      <c r="C218" s="62" t="s">
        <v>47</v>
      </c>
      <c r="D218" s="189"/>
      <c r="E218" s="63">
        <v>6</v>
      </c>
      <c r="F218" s="63"/>
      <c r="G218" s="63"/>
      <c r="H218" s="63" t="s">
        <v>238</v>
      </c>
      <c r="I218" s="63"/>
      <c r="J218" s="64" t="s">
        <v>279</v>
      </c>
      <c r="K218" s="8"/>
      <c r="L218" s="43"/>
      <c r="M218" s="8"/>
      <c r="N218" s="8" t="s">
        <v>17</v>
      </c>
      <c r="O218" s="36"/>
      <c r="P218" s="58"/>
      <c r="Q218" s="53"/>
      <c r="R218" s="53" t="s">
        <v>120</v>
      </c>
      <c r="S218" s="53" t="s">
        <v>120</v>
      </c>
      <c r="T218" s="58" t="s">
        <v>120</v>
      </c>
      <c r="U218" s="58"/>
      <c r="V218" s="187"/>
      <c r="AG218" s="4" t="s">
        <v>502</v>
      </c>
    </row>
    <row r="219" spans="1:33" x14ac:dyDescent="0.4">
      <c r="A219" s="177" t="str">
        <f>IF(O219="Planning","Yes",IF(O219="Underway","Yes",IF(P219="Planning","Yes",IF(P219="Underway","Yes",IF(Q219="Planning","Yes",IF(Q219="Underway","yes",IF(R219="Planning","Yes",IF(R219="Underway","Yes",IF(S219="Planning","Yes",IF(S219="Underway","Yes",IF(T219="Planning","Yes",IF(T219="Underway","Yes",IF(U219="Planning","Yes",IF(U219="Underway","Yes","   "))))))))))))))</f>
        <v xml:space="preserve">   </v>
      </c>
      <c r="B219" s="226" t="s">
        <v>502</v>
      </c>
      <c r="C219" s="62" t="s">
        <v>111</v>
      </c>
      <c r="D219" s="189"/>
      <c r="E219" s="63">
        <v>6</v>
      </c>
      <c r="F219" s="63"/>
      <c r="G219" s="63"/>
      <c r="H219" s="63" t="s">
        <v>151</v>
      </c>
      <c r="I219" s="63"/>
      <c r="J219" s="64" t="s">
        <v>110</v>
      </c>
      <c r="K219" s="8"/>
      <c r="L219" s="43"/>
      <c r="M219" s="8"/>
      <c r="N219" s="8" t="s">
        <v>17</v>
      </c>
      <c r="O219" s="36"/>
      <c r="P219" s="58"/>
      <c r="Q219" s="53"/>
      <c r="R219" s="58" t="s">
        <v>120</v>
      </c>
      <c r="S219" s="58" t="s">
        <v>120</v>
      </c>
      <c r="T219" s="58" t="s">
        <v>120</v>
      </c>
      <c r="U219" s="58"/>
      <c r="V219" s="187" t="s">
        <v>374</v>
      </c>
      <c r="AG219" s="4" t="s">
        <v>502</v>
      </c>
    </row>
    <row r="220" spans="1:33" x14ac:dyDescent="0.4">
      <c r="A220" s="177" t="str">
        <f>IF(O220="Planning","Yes",IF(O220="Underway","Yes",IF(P220="Planning","Yes",IF(P220="Underway","Yes",IF(Q220="Planning","Yes",IF(Q220="Underway","yes",IF(R220="Planning","Yes",IF(R220="Underway","Yes",IF(S220="Planning","Yes",IF(S220="Underway","Yes",IF(T220="Planning","Yes",IF(T220="Underway","Yes",IF(U220="Planning","Yes",IF(U220="Underway","Yes","   "))))))))))))))</f>
        <v>Yes</v>
      </c>
      <c r="B220" s="226" t="s">
        <v>503</v>
      </c>
      <c r="C220" s="62" t="s">
        <v>234</v>
      </c>
      <c r="D220" s="189"/>
      <c r="E220" s="63">
        <v>6</v>
      </c>
      <c r="F220" s="63"/>
      <c r="G220" s="63"/>
      <c r="H220" s="63" t="s">
        <v>151</v>
      </c>
      <c r="I220" s="63"/>
      <c r="J220" s="64" t="s">
        <v>279</v>
      </c>
      <c r="K220" s="8"/>
      <c r="L220" s="43"/>
      <c r="M220" s="8"/>
      <c r="N220" s="8" t="s">
        <v>17</v>
      </c>
      <c r="O220" s="36"/>
      <c r="P220" s="58"/>
      <c r="Q220" s="53"/>
      <c r="R220" s="53" t="s">
        <v>107</v>
      </c>
      <c r="S220" s="53" t="s">
        <v>107</v>
      </c>
      <c r="T220" s="58" t="s">
        <v>107</v>
      </c>
      <c r="U220" s="58"/>
      <c r="V220" s="187" t="s">
        <v>312</v>
      </c>
      <c r="AG220" s="4" t="s">
        <v>503</v>
      </c>
    </row>
    <row r="221" spans="1:33" x14ac:dyDescent="0.4">
      <c r="A221" s="177" t="str">
        <f t="shared" ref="A221:A222" si="20">IF(O221="Planning","Yes",IF(O221="Underway","Yes",IF(P221="Planning","Yes",IF(P221="Underway","Yes",IF(Q221="Planning","Yes",IF(Q221="Underway","yes",IF(R221="Planning","Yes",IF(R221="Underway","Yes",IF(S221="Planning","Yes",IF(S221="Underway","Yes",IF(T221="Planning","Yes",IF(T221="Underway","Yes",IF(U221="Planning","Yes",IF(U221="Underway","Yes","   "))))))))))))))</f>
        <v xml:space="preserve">   </v>
      </c>
      <c r="B221" s="226" t="e">
        <v>#N/A</v>
      </c>
      <c r="C221" s="62" t="s">
        <v>32</v>
      </c>
      <c r="D221" s="189"/>
      <c r="E221" s="63">
        <v>6</v>
      </c>
      <c r="F221" s="63"/>
      <c r="G221" s="63"/>
      <c r="H221" s="63"/>
      <c r="I221" s="63"/>
      <c r="J221" s="64" t="s">
        <v>279</v>
      </c>
      <c r="K221" s="8"/>
      <c r="L221" s="43"/>
      <c r="M221" s="8"/>
      <c r="N221" s="8"/>
      <c r="O221" s="36"/>
      <c r="P221" s="58"/>
      <c r="Q221" s="53"/>
      <c r="R221" s="53"/>
      <c r="S221" s="53"/>
      <c r="T221" s="58"/>
      <c r="U221" s="58"/>
      <c r="V221" s="187"/>
      <c r="AG221" s="4" t="e">
        <v>#N/A</v>
      </c>
    </row>
    <row r="222" spans="1:33" x14ac:dyDescent="0.4">
      <c r="A222" s="177" t="str">
        <f t="shared" si="20"/>
        <v xml:space="preserve">   </v>
      </c>
      <c r="B222" s="226" t="s">
        <v>600</v>
      </c>
      <c r="C222" s="62" t="s">
        <v>160</v>
      </c>
      <c r="D222" s="189"/>
      <c r="E222" s="63">
        <v>6</v>
      </c>
      <c r="F222" s="63"/>
      <c r="G222" s="63"/>
      <c r="H222" s="63" t="s">
        <v>151</v>
      </c>
      <c r="I222" s="63"/>
      <c r="J222" s="64" t="s">
        <v>279</v>
      </c>
      <c r="K222" s="8"/>
      <c r="L222" s="43"/>
      <c r="M222" s="8"/>
      <c r="N222" s="8" t="s">
        <v>17</v>
      </c>
      <c r="O222" s="36"/>
      <c r="P222" s="58"/>
      <c r="Q222" s="53"/>
      <c r="R222" s="53"/>
      <c r="S222" s="53" t="s">
        <v>120</v>
      </c>
      <c r="T222" s="58"/>
      <c r="U222" s="58"/>
      <c r="V222" s="187"/>
      <c r="AG222" s="4" t="s">
        <v>600</v>
      </c>
    </row>
    <row r="223" spans="1:33" x14ac:dyDescent="0.4">
      <c r="A223" s="177" t="str">
        <f t="shared" ref="A223:A227" si="21">IF(O223="Planning","Yes",IF(O223="Underway","Yes",IF(P223="Planning","Yes",IF(P223="Underway","Yes",IF(Q223="Planning","Yes",IF(Q223="Underway","yes",IF(R223="Planning","Yes",IF(R223="Underway","Yes",IF(S223="Planning","Yes",IF(S223="Underway","Yes",IF(T223="Planning","Yes",IF(T223="Underway","Yes",IF(U223="Planning","Yes",IF(U223="Underway","Yes","   "))))))))))))))</f>
        <v>Yes</v>
      </c>
      <c r="B223" s="226" t="s">
        <v>601</v>
      </c>
      <c r="C223" s="62" t="s">
        <v>159</v>
      </c>
      <c r="D223" s="189"/>
      <c r="E223" s="63">
        <v>6</v>
      </c>
      <c r="F223" s="63"/>
      <c r="G223" s="63"/>
      <c r="H223" s="63" t="s">
        <v>151</v>
      </c>
      <c r="I223" s="63"/>
      <c r="J223" s="64" t="s">
        <v>279</v>
      </c>
      <c r="K223" s="8"/>
      <c r="L223" s="43"/>
      <c r="M223" s="8"/>
      <c r="N223" s="8" t="s">
        <v>17</v>
      </c>
      <c r="O223" s="36"/>
      <c r="P223" s="58"/>
      <c r="Q223" s="55"/>
      <c r="R223" s="36" t="s">
        <v>107</v>
      </c>
      <c r="S223" s="36" t="s">
        <v>107</v>
      </c>
      <c r="T223" s="58" t="s">
        <v>107</v>
      </c>
      <c r="U223" s="58"/>
      <c r="V223" s="187"/>
      <c r="AG223" s="4" t="s">
        <v>601</v>
      </c>
    </row>
    <row r="224" spans="1:33" x14ac:dyDescent="0.4">
      <c r="A224" s="177" t="str">
        <f t="shared" si="21"/>
        <v>Yes</v>
      </c>
      <c r="B224" s="226" t="s">
        <v>602</v>
      </c>
      <c r="C224" s="62" t="s">
        <v>504</v>
      </c>
      <c r="D224" s="189"/>
      <c r="E224" s="63">
        <v>6</v>
      </c>
      <c r="F224" s="63"/>
      <c r="G224" s="63"/>
      <c r="H224" s="63" t="s">
        <v>151</v>
      </c>
      <c r="I224" s="63"/>
      <c r="J224" s="64" t="s">
        <v>110</v>
      </c>
      <c r="K224" s="8"/>
      <c r="L224" s="43"/>
      <c r="M224" s="8"/>
      <c r="N224" s="8" t="s">
        <v>17</v>
      </c>
      <c r="O224" s="36"/>
      <c r="P224" s="58"/>
      <c r="Q224" s="55"/>
      <c r="R224" s="36" t="s">
        <v>107</v>
      </c>
      <c r="S224" s="36" t="s">
        <v>107</v>
      </c>
      <c r="T224" s="58" t="s">
        <v>107</v>
      </c>
      <c r="U224" s="58"/>
      <c r="V224" s="187"/>
      <c r="AG224" s="4" t="s">
        <v>602</v>
      </c>
    </row>
    <row r="225" spans="1:33" x14ac:dyDescent="0.4">
      <c r="A225" s="177" t="str">
        <f t="shared" si="21"/>
        <v xml:space="preserve">   </v>
      </c>
      <c r="B225" s="226" t="s">
        <v>603</v>
      </c>
      <c r="C225" s="62" t="s">
        <v>31</v>
      </c>
      <c r="D225" s="189"/>
      <c r="E225" s="63">
        <v>6</v>
      </c>
      <c r="F225" s="63"/>
      <c r="G225" s="63"/>
      <c r="H225" s="63" t="s">
        <v>148</v>
      </c>
      <c r="I225" s="63"/>
      <c r="J225" s="64" t="s">
        <v>279</v>
      </c>
      <c r="K225" s="8"/>
      <c r="L225" s="43"/>
      <c r="M225" s="8"/>
      <c r="N225" s="8" t="s">
        <v>17</v>
      </c>
      <c r="O225" s="36"/>
      <c r="P225" s="58"/>
      <c r="Q225" s="53"/>
      <c r="R225" s="53"/>
      <c r="S225" s="53"/>
      <c r="T225" s="58"/>
      <c r="U225" s="58"/>
      <c r="V225" s="187"/>
      <c r="AG225" s="4" t="s">
        <v>603</v>
      </c>
    </row>
    <row r="226" spans="1:33" x14ac:dyDescent="0.4">
      <c r="A226" s="177" t="str">
        <f t="shared" si="21"/>
        <v>Yes</v>
      </c>
      <c r="B226" s="226" t="s">
        <v>506</v>
      </c>
      <c r="C226" s="62" t="s">
        <v>505</v>
      </c>
      <c r="D226" s="189"/>
      <c r="E226" s="63">
        <v>6</v>
      </c>
      <c r="F226" s="63"/>
      <c r="G226" s="63"/>
      <c r="H226" s="63" t="s">
        <v>151</v>
      </c>
      <c r="I226" s="63"/>
      <c r="J226" s="64" t="s">
        <v>279</v>
      </c>
      <c r="K226" s="8"/>
      <c r="L226" s="43"/>
      <c r="M226" s="8"/>
      <c r="N226" s="8" t="s">
        <v>17</v>
      </c>
      <c r="O226" s="36"/>
      <c r="P226" s="58"/>
      <c r="Q226" s="36"/>
      <c r="R226" s="36" t="s">
        <v>107</v>
      </c>
      <c r="S226" s="36" t="s">
        <v>107</v>
      </c>
      <c r="T226" s="58" t="s">
        <v>107</v>
      </c>
      <c r="U226" s="58"/>
      <c r="V226" s="187" t="s">
        <v>375</v>
      </c>
      <c r="AG226" s="4" t="s">
        <v>506</v>
      </c>
    </row>
    <row r="227" spans="1:33" x14ac:dyDescent="0.4">
      <c r="A227" s="177" t="str">
        <f t="shared" si="21"/>
        <v xml:space="preserve">   </v>
      </c>
      <c r="B227" s="226" t="s">
        <v>604</v>
      </c>
      <c r="C227" s="62" t="s">
        <v>184</v>
      </c>
      <c r="D227" s="189"/>
      <c r="E227" s="63">
        <v>6</v>
      </c>
      <c r="F227" s="63"/>
      <c r="G227" s="63"/>
      <c r="H227" s="63" t="s">
        <v>151</v>
      </c>
      <c r="I227" s="63"/>
      <c r="J227" s="64" t="s">
        <v>279</v>
      </c>
      <c r="K227" s="8"/>
      <c r="L227" s="43"/>
      <c r="M227" s="8"/>
      <c r="N227" s="8" t="s">
        <v>17</v>
      </c>
      <c r="O227" s="36"/>
      <c r="P227" s="58"/>
      <c r="Q227" s="53"/>
      <c r="R227" s="55" t="s">
        <v>120</v>
      </c>
      <c r="S227" s="55" t="s">
        <v>120</v>
      </c>
      <c r="T227" s="58" t="s">
        <v>120</v>
      </c>
      <c r="U227" s="58"/>
      <c r="V227" s="187" t="s">
        <v>312</v>
      </c>
      <c r="AG227" s="4" t="s">
        <v>604</v>
      </c>
    </row>
    <row r="228" spans="1:33" x14ac:dyDescent="0.4">
      <c r="A228" s="177" t="s">
        <v>230</v>
      </c>
      <c r="B228" s="226"/>
      <c r="C228" s="87" t="s">
        <v>196</v>
      </c>
      <c r="D228" s="207"/>
      <c r="E228" s="169">
        <v>6.1</v>
      </c>
      <c r="F228" s="169"/>
      <c r="G228" s="169"/>
      <c r="H228" s="183"/>
      <c r="I228" s="183"/>
      <c r="J228" s="169" t="s">
        <v>221</v>
      </c>
      <c r="K228" s="146" t="s">
        <v>134</v>
      </c>
      <c r="L228" s="36"/>
      <c r="M228" s="58"/>
      <c r="N228" s="53"/>
      <c r="O228" s="53"/>
      <c r="P228" s="53"/>
      <c r="Q228" s="58"/>
      <c r="R228" s="58"/>
      <c r="S228" s="4"/>
      <c r="T228" s="58"/>
      <c r="U228" s="58"/>
      <c r="V228" s="198"/>
    </row>
    <row r="229" spans="1:33" x14ac:dyDescent="0.4">
      <c r="A229" s="177" t="str">
        <f>IF(O229="Planning","Yes",IF(O229="Underway","Yes",IF(P229="Planning","Yes",IF(P229="Underway","Yes",IF(Q229="Planning","Yes",IF(Q229="Underway","Yes",IF(R229="Planning","Yes",IF(R229="Underway","Yes",IF(S229="Planning","Yes",IF(S229="Underway","Yes",IF(T229="Planning","Yes",IF(T229="Underway","Yes",IF(U229="Planning","Yes",IF(U229="Underway","Yes","   "))))))))))))))</f>
        <v>Yes</v>
      </c>
      <c r="B229" s="226" t="s">
        <v>605</v>
      </c>
      <c r="C229" s="62" t="s">
        <v>216</v>
      </c>
      <c r="D229" s="189"/>
      <c r="E229" s="63">
        <v>6.1</v>
      </c>
      <c r="F229" s="63"/>
      <c r="G229" s="63"/>
      <c r="H229" s="63" t="s">
        <v>151</v>
      </c>
      <c r="I229" s="63"/>
      <c r="J229" s="64" t="s">
        <v>27</v>
      </c>
      <c r="K229" s="8"/>
      <c r="L229" s="43"/>
      <c r="M229" s="8"/>
      <c r="N229" s="8" t="s">
        <v>17</v>
      </c>
      <c r="O229" s="36"/>
      <c r="P229" s="58"/>
      <c r="Q229" s="214"/>
      <c r="R229" s="216" t="s">
        <v>108</v>
      </c>
      <c r="S229" s="216" t="s">
        <v>108</v>
      </c>
      <c r="T229" s="58"/>
      <c r="U229" s="58"/>
      <c r="V229" s="187"/>
      <c r="AG229" s="4" t="s">
        <v>605</v>
      </c>
    </row>
    <row r="230" spans="1:33" x14ac:dyDescent="0.4">
      <c r="A230" s="177" t="str">
        <f>IF(O230="Planning","Yes",IF(O230="Underway","Yes",IF(P230="Planning","Yes",IF(P230="Underway","Yes",IF(Q230="Planning","Yes",IF(Q230="Underway","Yes",IF(R230="Planning","Yes",IF(R230="Underway","Yes",IF(S230="Planning","Yes",IF(S230="Underway","Yes",IF(T230="Planning","Yes",IF(T230="Underway","Yes",IF(U230="Planning","Yes",IF(U230="Underway","Yes","   "))))))))))))))</f>
        <v xml:space="preserve">   </v>
      </c>
      <c r="B230" s="226" t="s">
        <v>507</v>
      </c>
      <c r="C230" s="62" t="s">
        <v>288</v>
      </c>
      <c r="D230" s="189"/>
      <c r="E230" s="63">
        <v>6.1</v>
      </c>
      <c r="F230" s="63"/>
      <c r="G230" s="63"/>
      <c r="H230" s="63" t="s">
        <v>249</v>
      </c>
      <c r="I230" s="63"/>
      <c r="J230" s="64" t="s">
        <v>27</v>
      </c>
      <c r="K230" s="8"/>
      <c r="L230" s="43"/>
      <c r="M230" s="8"/>
      <c r="N230" s="8" t="s">
        <v>241</v>
      </c>
      <c r="O230" s="58"/>
      <c r="P230" s="58"/>
      <c r="Q230" s="55"/>
      <c r="R230" s="55"/>
      <c r="S230" s="55"/>
      <c r="T230" s="58"/>
      <c r="U230" s="58"/>
      <c r="V230" s="187"/>
      <c r="AG230" s="4" t="s">
        <v>507</v>
      </c>
    </row>
    <row r="231" spans="1:33" x14ac:dyDescent="0.4">
      <c r="A231" s="177" t="str">
        <f>IF(O231="Planning","Yes",IF(O231="Underway","Yes",IF(P231="Planning","Yes",IF(P231="Underway","Yes",IF(Q231="Planning","Yes",IF(Q231="Underway","Yes",IF(R231="Planning","Yes",IF(R231="Underway","Yes",IF(S231="Planning","Yes",IF(S231="Underway","Yes",IF(T231="Planning","Yes",IF(T231="Underway","Yes",IF(U231="Planning","Yes",IF(U231="Underway","Yes","   "))))))))))))))</f>
        <v xml:space="preserve">   </v>
      </c>
      <c r="B231" s="226" t="s">
        <v>606</v>
      </c>
      <c r="C231" s="62" t="s">
        <v>166</v>
      </c>
      <c r="D231" s="189"/>
      <c r="E231" s="63">
        <v>6.1</v>
      </c>
      <c r="F231" s="63"/>
      <c r="G231" s="63"/>
      <c r="H231" s="63" t="s">
        <v>148</v>
      </c>
      <c r="I231" s="63"/>
      <c r="J231" s="64" t="s">
        <v>27</v>
      </c>
      <c r="K231" s="8"/>
      <c r="L231" s="43"/>
      <c r="M231" s="8"/>
      <c r="N231" s="8" t="s">
        <v>17</v>
      </c>
      <c r="O231" s="36"/>
      <c r="P231" s="58"/>
      <c r="Q231" s="54"/>
      <c r="R231" s="54"/>
      <c r="S231" s="54"/>
      <c r="T231" s="58"/>
      <c r="U231" s="58"/>
      <c r="V231" s="187"/>
      <c r="AG231" s="4" t="s">
        <v>606</v>
      </c>
    </row>
    <row r="232" spans="1:33" x14ac:dyDescent="0.4">
      <c r="A232" s="177" t="str">
        <f t="shared" ref="A232:A233" si="22">IF(O232="Planning","Yes",IF(O232="Underway","Yes",IF(P232="Planning","Yes",IF(P232="Underway","Yes",IF(Q232="Planning","Yes",IF(Q232="Underway","Yes",IF(R232="Planning","Yes",IF(R232="Underway","Yes",IF(S232="Planning","Yes",IF(S232="Underway","Yes",IF(T232="Planning","Yes",IF(T232="Underway","Yes",IF(U232="Planning","Yes",IF(U232="Underway","Yes","   "))))))))))))))</f>
        <v xml:space="preserve">   </v>
      </c>
      <c r="B232" s="226" t="s">
        <v>508</v>
      </c>
      <c r="C232" s="62" t="s">
        <v>350</v>
      </c>
      <c r="D232" s="189"/>
      <c r="E232" s="63">
        <v>6.1</v>
      </c>
      <c r="F232" s="63" t="s">
        <v>17</v>
      </c>
      <c r="G232" s="63"/>
      <c r="H232" s="63" t="s">
        <v>240</v>
      </c>
      <c r="I232" s="63"/>
      <c r="J232" s="64" t="s">
        <v>27</v>
      </c>
      <c r="K232" s="8"/>
      <c r="L232" s="43"/>
      <c r="M232" s="8"/>
      <c r="N232" s="8"/>
      <c r="O232" s="36"/>
      <c r="P232" s="58"/>
      <c r="Q232" s="54"/>
      <c r="R232" s="54"/>
      <c r="S232" s="54"/>
      <c r="T232" s="58"/>
      <c r="U232" s="58"/>
      <c r="V232" s="187"/>
      <c r="AG232" s="4" t="s">
        <v>508</v>
      </c>
    </row>
    <row r="233" spans="1:33" x14ac:dyDescent="0.4">
      <c r="A233" s="177" t="str">
        <f t="shared" si="22"/>
        <v xml:space="preserve">   </v>
      </c>
      <c r="B233" s="226" t="s">
        <v>607</v>
      </c>
      <c r="C233" s="62" t="s">
        <v>123</v>
      </c>
      <c r="D233" s="189"/>
      <c r="E233" s="63">
        <v>6.1</v>
      </c>
      <c r="F233" s="63"/>
      <c r="G233" s="63"/>
      <c r="H233" s="63" t="s">
        <v>238</v>
      </c>
      <c r="I233" s="63"/>
      <c r="J233" s="64" t="s">
        <v>27</v>
      </c>
      <c r="K233" s="8"/>
      <c r="L233" s="43"/>
      <c r="M233" s="8"/>
      <c r="N233" s="8" t="s">
        <v>17</v>
      </c>
      <c r="O233" s="36"/>
      <c r="P233" s="58"/>
      <c r="Q233" s="55"/>
      <c r="R233" s="55" t="s">
        <v>120</v>
      </c>
      <c r="S233" s="55" t="s">
        <v>120</v>
      </c>
      <c r="T233" s="55"/>
      <c r="U233" s="58"/>
      <c r="V233" s="187"/>
      <c r="AG233" s="4" t="s">
        <v>607</v>
      </c>
    </row>
    <row r="234" spans="1:33" x14ac:dyDescent="0.4">
      <c r="A234" s="177" t="s">
        <v>230</v>
      </c>
      <c r="B234" s="226"/>
      <c r="C234" s="87" t="s">
        <v>239</v>
      </c>
      <c r="D234" s="207"/>
      <c r="E234" s="169">
        <v>7</v>
      </c>
      <c r="F234" s="169"/>
      <c r="G234" s="169"/>
      <c r="H234" s="183"/>
      <c r="I234" s="183"/>
      <c r="J234" s="169" t="s">
        <v>221</v>
      </c>
      <c r="K234" s="8"/>
      <c r="L234" s="43"/>
      <c r="M234" s="8"/>
      <c r="N234" s="8"/>
      <c r="O234" s="36"/>
      <c r="P234" s="58"/>
      <c r="Q234" s="54"/>
      <c r="R234" s="54"/>
      <c r="S234" s="54"/>
      <c r="T234" s="58"/>
      <c r="U234" s="58"/>
      <c r="V234" s="187"/>
    </row>
    <row r="235" spans="1:33" x14ac:dyDescent="0.4">
      <c r="A235" s="177" t="str">
        <f>IF(O235="Planning","Yes",IF(O235="Underway","Yes",IF(P235="Planning","Yes",IF(P235="Underway","Yes",IF(Q235="Planning","Yes",IF(Q235="Underway","Yes",IF(R235="Planning","Yes",IF(R235="Underway","Yes",IF(S235="Planning","Yes",IF(S235="Underway","Yes",IF(T235="Planning","Yes",IF(T235="Underway","Yes",IF(U235="Planning","Yes",IF(U235="Underway","Yes","   "))))))))))))))</f>
        <v>Yes</v>
      </c>
      <c r="B235" s="226" t="s">
        <v>608</v>
      </c>
      <c r="C235" s="62" t="s">
        <v>89</v>
      </c>
      <c r="D235" s="189"/>
      <c r="E235" s="63">
        <v>7</v>
      </c>
      <c r="F235" s="63"/>
      <c r="G235" s="63"/>
      <c r="H235" s="63" t="s">
        <v>148</v>
      </c>
      <c r="I235" s="63"/>
      <c r="J235" s="64" t="s">
        <v>24</v>
      </c>
      <c r="K235" s="8"/>
      <c r="L235" s="43"/>
      <c r="M235" s="8"/>
      <c r="N235" s="8" t="s">
        <v>17</v>
      </c>
      <c r="O235" s="36" t="s">
        <v>108</v>
      </c>
      <c r="P235" s="58"/>
      <c r="Q235" s="55"/>
      <c r="R235" s="55"/>
      <c r="S235" s="55"/>
      <c r="T235" s="58"/>
      <c r="U235" s="58"/>
      <c r="V235" s="187"/>
      <c r="AG235" s="4" t="s">
        <v>608</v>
      </c>
    </row>
    <row r="236" spans="1:33" x14ac:dyDescent="0.4">
      <c r="A236" s="177" t="str">
        <f>IF(O236="Planning","Yes",IF(O236="Underway","Yes",IF(P236="Planning","Yes",IF(P236="Underway","Yes",IF(Q236="Planning","Yes",IF(Q236="Underway","Yes",IF(R236="Planning","Yes",IF(R236="Underway","Yes",IF(S236="Planning","Yes",IF(S236="Underway","Yes",IF(T236="Planning","Yes",IF(T236="Underway","Yes",IF(U236="Planning","Yes",IF(U236="Underway","Yes","   "))))))))))))))</f>
        <v xml:space="preserve">   </v>
      </c>
      <c r="B236" s="226" t="s">
        <v>510</v>
      </c>
      <c r="C236" s="62" t="s">
        <v>509</v>
      </c>
      <c r="D236" s="189"/>
      <c r="E236" s="63">
        <v>7</v>
      </c>
      <c r="F236" s="63"/>
      <c r="G236" s="63"/>
      <c r="H236" s="63" t="s">
        <v>148</v>
      </c>
      <c r="I236" s="63"/>
      <c r="J236" s="64" t="s">
        <v>24</v>
      </c>
      <c r="K236" s="8"/>
      <c r="L236" s="43"/>
      <c r="M236" s="8"/>
      <c r="N236" s="8" t="s">
        <v>17</v>
      </c>
      <c r="O236" s="36" t="s">
        <v>120</v>
      </c>
      <c r="P236" s="36"/>
      <c r="Q236" s="36"/>
      <c r="R236" s="36"/>
      <c r="S236" s="36"/>
      <c r="T236" s="58"/>
      <c r="U236" s="58"/>
      <c r="V236" s="187"/>
      <c r="AG236" s="4" t="s">
        <v>510</v>
      </c>
    </row>
    <row r="237" spans="1:33" x14ac:dyDescent="0.4">
      <c r="A237" s="177" t="s">
        <v>230</v>
      </c>
      <c r="B237" s="226"/>
      <c r="C237" s="87" t="s">
        <v>218</v>
      </c>
      <c r="D237" s="207"/>
      <c r="E237" s="169">
        <v>8</v>
      </c>
      <c r="F237" s="169"/>
      <c r="G237" s="169"/>
      <c r="H237" s="183"/>
      <c r="I237" s="183"/>
      <c r="J237" s="169" t="s">
        <v>221</v>
      </c>
      <c r="K237" s="8"/>
      <c r="L237" s="43"/>
      <c r="M237" s="8"/>
      <c r="N237" s="182" t="s">
        <v>134</v>
      </c>
      <c r="O237" s="36"/>
      <c r="P237" s="58"/>
      <c r="Q237" s="53"/>
      <c r="R237" s="53"/>
      <c r="S237" s="53"/>
      <c r="T237" s="58"/>
      <c r="U237" s="58"/>
      <c r="V237" s="187"/>
    </row>
    <row r="238" spans="1:33" x14ac:dyDescent="0.4">
      <c r="A238" s="177" t="str">
        <f t="shared" ref="A238:A244" si="23">IF(O238="Planning","Yes",IF(O238="Underway","Yes",IF(P238="Planning","Yes",IF(P238="Underway","Yes",IF(Q238="Planning","Yes",IF(Q238="Underway","Yes",IF(R238="Planning","Yes",IF(R238="Underway","Yes",IF(S238="Planning","Yes",IF(S238="Underway","Yes",IF(T238="Planning","Yes",IF(T238="Underway","Yes",IF(U238="Planning","Yes",IF(U238="Underway","Yes","   "))))))))))))))</f>
        <v>Yes</v>
      </c>
      <c r="B238" s="226" t="e">
        <v>#N/A</v>
      </c>
      <c r="C238" s="105" t="s">
        <v>220</v>
      </c>
      <c r="D238" s="189"/>
      <c r="E238" s="63">
        <v>8</v>
      </c>
      <c r="F238" s="63"/>
      <c r="G238" s="63"/>
      <c r="H238" s="63" t="s">
        <v>149</v>
      </c>
      <c r="I238" s="63"/>
      <c r="J238" s="64" t="s">
        <v>162</v>
      </c>
      <c r="K238" s="8"/>
      <c r="L238" s="43"/>
      <c r="M238" s="8"/>
      <c r="N238" s="8" t="s">
        <v>17</v>
      </c>
      <c r="O238" s="36"/>
      <c r="P238" s="58" t="s">
        <v>108</v>
      </c>
      <c r="Q238" s="53"/>
      <c r="R238" s="53"/>
      <c r="S238" s="53"/>
      <c r="T238" s="58"/>
      <c r="U238" s="58"/>
      <c r="V238" s="187"/>
      <c r="AG238" s="4" t="e">
        <v>#N/A</v>
      </c>
    </row>
    <row r="239" spans="1:33" x14ac:dyDescent="0.4">
      <c r="A239" s="177" t="str">
        <f t="shared" si="23"/>
        <v xml:space="preserve">   </v>
      </c>
      <c r="B239" s="226" t="s">
        <v>609</v>
      </c>
      <c r="C239" s="105" t="s">
        <v>163</v>
      </c>
      <c r="D239" s="189"/>
      <c r="E239" s="63">
        <v>8</v>
      </c>
      <c r="F239" s="63"/>
      <c r="G239" s="63"/>
      <c r="H239" s="63" t="s">
        <v>238</v>
      </c>
      <c r="I239" s="63"/>
      <c r="J239" s="64" t="s">
        <v>162</v>
      </c>
      <c r="K239" s="8"/>
      <c r="L239" s="43"/>
      <c r="M239" s="8"/>
      <c r="N239" s="8" t="s">
        <v>17</v>
      </c>
      <c r="O239" s="36"/>
      <c r="P239" s="58"/>
      <c r="Q239" s="53"/>
      <c r="R239" s="55" t="s">
        <v>120</v>
      </c>
      <c r="S239" s="55"/>
      <c r="T239" s="55"/>
      <c r="U239" s="58"/>
      <c r="V239" s="187"/>
      <c r="AG239" s="4" t="s">
        <v>609</v>
      </c>
    </row>
    <row r="240" spans="1:33" x14ac:dyDescent="0.4">
      <c r="A240" s="177" t="str">
        <f t="shared" si="23"/>
        <v xml:space="preserve">   </v>
      </c>
      <c r="B240" s="226" t="e">
        <v>#N/A</v>
      </c>
      <c r="C240" s="105" t="s">
        <v>354</v>
      </c>
      <c r="D240" s="189"/>
      <c r="E240" s="63">
        <v>8</v>
      </c>
      <c r="F240" s="63"/>
      <c r="G240" s="63"/>
      <c r="H240" s="63" t="s">
        <v>249</v>
      </c>
      <c r="I240" s="63"/>
      <c r="J240" s="64" t="s">
        <v>162</v>
      </c>
      <c r="K240" s="8"/>
      <c r="L240" s="43"/>
      <c r="M240" s="8"/>
      <c r="N240" s="8" t="s">
        <v>241</v>
      </c>
      <c r="O240" s="36"/>
      <c r="P240" s="58"/>
      <c r="Q240" s="53"/>
      <c r="R240" s="55"/>
      <c r="S240" s="55"/>
      <c r="T240" s="55"/>
      <c r="U240" s="58"/>
      <c r="V240" s="187"/>
      <c r="AG240" s="4" t="e">
        <v>#N/A</v>
      </c>
    </row>
    <row r="241" spans="1:33" x14ac:dyDescent="0.4">
      <c r="A241" s="177" t="str">
        <f t="shared" si="23"/>
        <v>Yes</v>
      </c>
      <c r="B241" s="226" t="s">
        <v>511</v>
      </c>
      <c r="C241" s="62" t="s">
        <v>117</v>
      </c>
      <c r="D241" s="189"/>
      <c r="E241" s="63">
        <v>8</v>
      </c>
      <c r="F241" s="63"/>
      <c r="G241" s="63"/>
      <c r="H241" s="63" t="s">
        <v>148</v>
      </c>
      <c r="I241" s="63"/>
      <c r="J241" s="64" t="s">
        <v>162</v>
      </c>
      <c r="K241" s="8"/>
      <c r="L241" s="43"/>
      <c r="M241" s="8"/>
      <c r="N241" s="8" t="s">
        <v>17</v>
      </c>
      <c r="O241" s="36"/>
      <c r="P241" s="58"/>
      <c r="Q241" s="55"/>
      <c r="R241" s="55" t="s">
        <v>120</v>
      </c>
      <c r="S241" s="55"/>
      <c r="T241" s="58"/>
      <c r="U241" s="58" t="s">
        <v>107</v>
      </c>
      <c r="V241" s="187"/>
      <c r="AG241" s="4" t="s">
        <v>511</v>
      </c>
    </row>
    <row r="242" spans="1:33" x14ac:dyDescent="0.4">
      <c r="A242" s="177" t="str">
        <f t="shared" si="23"/>
        <v>Yes</v>
      </c>
      <c r="B242" s="226" t="s">
        <v>610</v>
      </c>
      <c r="C242" s="62" t="s">
        <v>512</v>
      </c>
      <c r="D242" s="189"/>
      <c r="E242" s="63">
        <v>8</v>
      </c>
      <c r="F242" s="63"/>
      <c r="G242" s="63"/>
      <c r="H242" s="63" t="s">
        <v>151</v>
      </c>
      <c r="I242" s="63"/>
      <c r="J242" s="64" t="s">
        <v>162</v>
      </c>
      <c r="K242" s="8"/>
      <c r="L242" s="43"/>
      <c r="M242" s="8"/>
      <c r="N242" s="8" t="s">
        <v>17</v>
      </c>
      <c r="O242" s="36"/>
      <c r="P242" s="58"/>
      <c r="Q242" s="214"/>
      <c r="R242" s="216" t="s">
        <v>120</v>
      </c>
      <c r="S242" s="216"/>
      <c r="T242" s="58" t="s">
        <v>107</v>
      </c>
      <c r="U242" s="58"/>
      <c r="V242" s="187"/>
      <c r="AG242" s="4" t="s">
        <v>610</v>
      </c>
    </row>
    <row r="243" spans="1:33" x14ac:dyDescent="0.4">
      <c r="A243" s="177" t="str">
        <f t="shared" si="23"/>
        <v>Yes</v>
      </c>
      <c r="B243" s="226" t="s">
        <v>513</v>
      </c>
      <c r="C243" s="62" t="s">
        <v>351</v>
      </c>
      <c r="D243" s="191"/>
      <c r="E243" s="63">
        <v>8</v>
      </c>
      <c r="F243" s="174"/>
      <c r="G243" s="174"/>
      <c r="H243" s="174" t="s">
        <v>151</v>
      </c>
      <c r="I243" s="174"/>
      <c r="J243" s="64" t="s">
        <v>162</v>
      </c>
      <c r="K243" s="163"/>
      <c r="L243" s="164"/>
      <c r="M243" s="163"/>
      <c r="N243" s="163"/>
      <c r="O243" s="165"/>
      <c r="P243" s="166"/>
      <c r="Q243" s="215"/>
      <c r="R243" s="216" t="s">
        <v>108</v>
      </c>
      <c r="S243" s="216" t="s">
        <v>108</v>
      </c>
      <c r="T243" s="58" t="s">
        <v>108</v>
      </c>
      <c r="U243" s="166"/>
      <c r="V243" s="199"/>
      <c r="AG243" s="4" t="s">
        <v>513</v>
      </c>
    </row>
    <row r="244" spans="1:33" x14ac:dyDescent="0.4">
      <c r="A244" s="177" t="str">
        <f t="shared" si="23"/>
        <v xml:space="preserve">   </v>
      </c>
      <c r="B244" s="226" t="s">
        <v>611</v>
      </c>
      <c r="C244" s="62" t="s">
        <v>282</v>
      </c>
      <c r="D244" s="191"/>
      <c r="E244" s="174">
        <v>8</v>
      </c>
      <c r="F244" s="174"/>
      <c r="G244" s="174"/>
      <c r="H244" s="174" t="s">
        <v>151</v>
      </c>
      <c r="I244" s="174"/>
      <c r="J244" s="175" t="s">
        <v>162</v>
      </c>
      <c r="K244" s="163"/>
      <c r="L244" s="164"/>
      <c r="M244" s="163"/>
      <c r="N244" s="163" t="s">
        <v>17</v>
      </c>
      <c r="O244" s="165"/>
      <c r="P244" s="166"/>
      <c r="Q244" s="176"/>
      <c r="R244" s="176"/>
      <c r="S244" s="176"/>
      <c r="T244" s="166"/>
      <c r="U244" s="166"/>
      <c r="V244" s="199"/>
      <c r="AG244" s="4" t="s">
        <v>611</v>
      </c>
    </row>
    <row r="245" spans="1:33" x14ac:dyDescent="0.4">
      <c r="A245" s="177" t="s">
        <v>230</v>
      </c>
      <c r="B245" s="226"/>
      <c r="C245" s="87" t="s">
        <v>217</v>
      </c>
      <c r="D245" s="207"/>
      <c r="E245" s="169">
        <v>9</v>
      </c>
      <c r="F245" s="169"/>
      <c r="G245" s="169"/>
      <c r="H245" s="183"/>
      <c r="I245" s="183"/>
      <c r="J245" s="169" t="s">
        <v>221</v>
      </c>
      <c r="K245" s="163"/>
      <c r="L245" s="164"/>
      <c r="M245" s="163"/>
      <c r="N245" s="163"/>
      <c r="O245" s="165"/>
      <c r="P245" s="165"/>
      <c r="Q245" s="165"/>
      <c r="R245" s="165"/>
      <c r="S245" s="165"/>
      <c r="T245" s="166"/>
      <c r="U245" s="166"/>
      <c r="V245" s="199"/>
    </row>
    <row r="246" spans="1:33" x14ac:dyDescent="0.4">
      <c r="A246" s="58" t="str">
        <f>IF(O246="Planning","Yes",IF(O246="Underway","Yes",IF(P246="Planning","Yes",IF(P246="Underway","Yes",IF(Q246="Planning","Yes",IF(Q246="Underway","Yes",IF(R246="Planning","Yes",IF(R246="Underway","Yes",IF(S246="Planning","Yes",IF(S246="Underway","Yes",IF(T246="Planning","Yes",IF(T246="Underway","Yes",IF(U246="Planning","Yes",IF(U246="Underway","Yes","   "))))))))))))))</f>
        <v>Yes</v>
      </c>
      <c r="B246" s="226" t="s">
        <v>514</v>
      </c>
      <c r="C246" s="62" t="s">
        <v>38</v>
      </c>
      <c r="D246" s="189"/>
      <c r="E246" s="63">
        <v>9</v>
      </c>
      <c r="F246" s="63"/>
      <c r="G246" s="63"/>
      <c r="H246" s="63" t="s">
        <v>148</v>
      </c>
      <c r="I246" s="63"/>
      <c r="J246" s="64" t="s">
        <v>28</v>
      </c>
      <c r="K246" s="8"/>
      <c r="L246" s="43"/>
      <c r="M246" s="8"/>
      <c r="N246" s="185" t="s">
        <v>17</v>
      </c>
      <c r="O246" s="186" t="s">
        <v>107</v>
      </c>
      <c r="P246" s="58" t="s">
        <v>120</v>
      </c>
      <c r="Q246" s="58"/>
      <c r="R246" s="58"/>
      <c r="S246" s="58"/>
      <c r="T246" s="58"/>
      <c r="U246" s="58"/>
      <c r="V246" s="199"/>
      <c r="AG246" s="4" t="s">
        <v>514</v>
      </c>
    </row>
    <row r="247" spans="1:33" x14ac:dyDescent="0.4">
      <c r="A247" s="58" t="str">
        <f>IF(O247="Planning","Yes",IF(O247="Underway","Yes",IF(P247="Planning","Yes",IF(P247="Underway","Yes",IF(Q247="Planning","Yes",IF(Q247="Underway","Yes",IF(R247="Planning","Yes",IF(R247="Underway","Yes",IF(S247="Planning","Yes",IF(S247="Underway","Yes",IF(T247="Planning","Yes",IF(T247="Underway","Yes",IF(U247="Planning","Yes",IF(U247="Underway","Yes","   "))))))))))))))</f>
        <v xml:space="preserve">   </v>
      </c>
      <c r="B247" s="226" t="s">
        <v>515</v>
      </c>
      <c r="C247" s="105" t="s">
        <v>280</v>
      </c>
      <c r="D247" s="189"/>
      <c r="E247" s="213">
        <v>9</v>
      </c>
      <c r="F247" s="184"/>
      <c r="G247" s="184"/>
      <c r="H247" s="192" t="s">
        <v>148</v>
      </c>
      <c r="I247" s="192"/>
      <c r="J247" s="64" t="s">
        <v>28</v>
      </c>
      <c r="K247" s="8"/>
      <c r="L247" s="43"/>
      <c r="M247" s="8"/>
      <c r="N247" s="8" t="s">
        <v>17</v>
      </c>
      <c r="O247" s="36" t="s">
        <v>120</v>
      </c>
      <c r="P247" s="36" t="s">
        <v>120</v>
      </c>
      <c r="Q247" s="36"/>
      <c r="R247" s="36"/>
      <c r="S247" s="36"/>
      <c r="T247" s="58"/>
      <c r="U247" s="58"/>
      <c r="V247" s="220"/>
      <c r="AG247" s="4" t="s">
        <v>515</v>
      </c>
    </row>
    <row r="248" spans="1:33" x14ac:dyDescent="0.4">
      <c r="A248" s="58" t="str">
        <f>IF(O248="Planning","Yes",IF(O248="Underway","Yes",IF(P248="Planning","Yes",IF(P248="Underway","Yes",IF(Q248="Planning","Yes",IF(Q248="Underway","Yes",IF(R248="Planning","Yes",IF(R248="Underway","Yes",IF(S248="Planning","Yes",IF(S248="Underway","Yes",IF(T248="Planning","Yes",IF(T248="Underway","Yes",IF(U248="Planning","Yes",IF(U248="Underway","Yes","   "))))))))))))))</f>
        <v xml:space="preserve">   </v>
      </c>
      <c r="B248" s="226" t="s">
        <v>612</v>
      </c>
      <c r="C248" s="105" t="s">
        <v>281</v>
      </c>
      <c r="D248" s="189"/>
      <c r="E248" s="213">
        <v>9</v>
      </c>
      <c r="F248" s="184"/>
      <c r="G248" s="184"/>
      <c r="H248" s="192" t="s">
        <v>148</v>
      </c>
      <c r="I248" s="192"/>
      <c r="J248" s="64" t="s">
        <v>28</v>
      </c>
      <c r="K248" s="8"/>
      <c r="L248" s="43"/>
      <c r="M248" s="8"/>
      <c r="N248" s="8" t="s">
        <v>17</v>
      </c>
      <c r="O248" s="36" t="s">
        <v>120</v>
      </c>
      <c r="P248" s="36" t="s">
        <v>120</v>
      </c>
      <c r="Q248" s="36"/>
      <c r="R248" s="36"/>
      <c r="S248" s="36"/>
      <c r="T248" s="58"/>
      <c r="U248" s="58"/>
      <c r="V248" s="220"/>
      <c r="AG248" s="4" t="s">
        <v>612</v>
      </c>
    </row>
    <row r="249" spans="1:33" x14ac:dyDescent="0.4">
      <c r="A249" s="58" t="str">
        <f t="shared" ref="A249:A254" si="24">IF(O249="Planning","Yes",IF(O249="Underway","Yes",IF(P249="Planning","Yes",IF(P249="Underway","Yes",IF(Q249="Planning","Yes",IF(Q249="Underway","Yes",IF(R249="Planning","Yes",IF(R249="Underway","Yes",IF(S249="Planning","Yes",IF(S249="Underway","Yes",IF(T249="Planning","Yes",IF(T249="Underway","Yes",IF(U249="Planning","Yes",IF(U249="Underway","Yes","   "))))))))))))))</f>
        <v xml:space="preserve">   </v>
      </c>
      <c r="B249" s="226"/>
      <c r="C249" s="87" t="s">
        <v>396</v>
      </c>
      <c r="D249" s="189"/>
      <c r="E249" s="213"/>
      <c r="F249" s="184"/>
      <c r="G249" s="184"/>
      <c r="H249" s="192"/>
      <c r="I249" s="192"/>
      <c r="J249" s="64"/>
      <c r="K249" s="8"/>
      <c r="L249" s="43"/>
      <c r="M249" s="8"/>
      <c r="N249" s="8"/>
      <c r="O249" s="36"/>
      <c r="P249" s="36"/>
      <c r="Q249" s="36"/>
      <c r="R249" s="36"/>
      <c r="S249" s="36"/>
      <c r="T249" s="58"/>
      <c r="U249" s="58"/>
      <c r="V249" s="220"/>
    </row>
    <row r="250" spans="1:33" x14ac:dyDescent="0.3">
      <c r="A250" s="58" t="str">
        <f t="shared" si="24"/>
        <v>Yes</v>
      </c>
      <c r="B250" s="226"/>
      <c r="C250" s="62" t="s">
        <v>321</v>
      </c>
      <c r="D250" s="63"/>
      <c r="E250" s="63">
        <v>10</v>
      </c>
      <c r="F250" s="63"/>
      <c r="G250" s="63"/>
      <c r="H250" s="63" t="s">
        <v>148</v>
      </c>
      <c r="I250" s="63"/>
      <c r="J250" s="64" t="s">
        <v>399</v>
      </c>
      <c r="K250" s="8"/>
      <c r="L250" s="43"/>
      <c r="M250" s="8"/>
      <c r="N250" s="185" t="s">
        <v>398</v>
      </c>
      <c r="O250" s="186" t="s">
        <v>107</v>
      </c>
      <c r="P250" s="58"/>
      <c r="Q250" s="58"/>
      <c r="R250" s="58"/>
      <c r="S250" s="58"/>
      <c r="T250" s="58"/>
      <c r="U250" s="58"/>
      <c r="V250" s="220"/>
    </row>
    <row r="251" spans="1:33" x14ac:dyDescent="0.3">
      <c r="A251" s="58" t="str">
        <f t="shared" si="24"/>
        <v>Yes</v>
      </c>
      <c r="B251" s="226"/>
      <c r="C251" s="62" t="s">
        <v>295</v>
      </c>
      <c r="D251" s="63"/>
      <c r="E251" s="63">
        <v>10</v>
      </c>
      <c r="F251" s="63"/>
      <c r="G251" s="63"/>
      <c r="H251" s="63" t="s">
        <v>249</v>
      </c>
      <c r="I251" s="63"/>
      <c r="J251" s="64" t="s">
        <v>399</v>
      </c>
      <c r="K251" s="8"/>
      <c r="L251" s="43"/>
      <c r="M251" s="8"/>
      <c r="N251" s="185" t="s">
        <v>398</v>
      </c>
      <c r="O251" s="186" t="s">
        <v>107</v>
      </c>
      <c r="P251" s="58"/>
      <c r="Q251" s="58"/>
      <c r="R251" s="58"/>
      <c r="S251" s="58"/>
      <c r="T251" s="58"/>
      <c r="U251" s="58"/>
      <c r="V251" s="220"/>
    </row>
    <row r="252" spans="1:33" x14ac:dyDescent="0.3">
      <c r="A252" s="58" t="str">
        <f t="shared" si="24"/>
        <v>Yes</v>
      </c>
      <c r="B252" s="226"/>
      <c r="C252" s="62" t="s">
        <v>304</v>
      </c>
      <c r="D252" s="63"/>
      <c r="E252" s="63">
        <v>10</v>
      </c>
      <c r="F252" s="63"/>
      <c r="G252" s="63"/>
      <c r="H252" s="63" t="s">
        <v>249</v>
      </c>
      <c r="I252" s="63"/>
      <c r="J252" s="64" t="s">
        <v>399</v>
      </c>
      <c r="K252" s="8"/>
      <c r="L252" s="43"/>
      <c r="M252" s="8"/>
      <c r="N252" s="185" t="s">
        <v>398</v>
      </c>
      <c r="O252" s="186" t="s">
        <v>107</v>
      </c>
      <c r="P252" s="58"/>
      <c r="Q252" s="58"/>
      <c r="R252" s="58"/>
      <c r="S252" s="58"/>
      <c r="T252" s="58"/>
      <c r="U252" s="58"/>
      <c r="V252" s="220"/>
    </row>
    <row r="253" spans="1:33" x14ac:dyDescent="0.3">
      <c r="A253" s="58" t="str">
        <f t="shared" si="24"/>
        <v>Yes</v>
      </c>
      <c r="B253" s="226"/>
      <c r="C253" s="62" t="s">
        <v>363</v>
      </c>
      <c r="D253" s="63"/>
      <c r="E253" s="63">
        <v>10</v>
      </c>
      <c r="F253" s="63"/>
      <c r="G253" s="63"/>
      <c r="H253" s="63" t="s">
        <v>249</v>
      </c>
      <c r="I253" s="63"/>
      <c r="J253" s="64" t="s">
        <v>399</v>
      </c>
      <c r="K253" s="8"/>
      <c r="L253" s="43"/>
      <c r="M253" s="8"/>
      <c r="N253" s="185" t="s">
        <v>398</v>
      </c>
      <c r="O253" s="186" t="s">
        <v>107</v>
      </c>
      <c r="P253" s="58"/>
      <c r="Q253" s="58"/>
      <c r="R253" s="58"/>
      <c r="S253" s="58"/>
      <c r="T253" s="58"/>
      <c r="U253" s="58"/>
      <c r="V253" s="220"/>
    </row>
    <row r="254" spans="1:33" x14ac:dyDescent="0.3">
      <c r="A254" s="58" t="str">
        <f t="shared" si="24"/>
        <v>Yes</v>
      </c>
      <c r="B254" s="226"/>
      <c r="C254" s="62" t="s">
        <v>397</v>
      </c>
      <c r="D254" s="63"/>
      <c r="E254" s="63">
        <v>10</v>
      </c>
      <c r="F254" s="63"/>
      <c r="G254" s="63"/>
      <c r="H254" s="63" t="s">
        <v>249</v>
      </c>
      <c r="I254" s="63"/>
      <c r="J254" s="64" t="s">
        <v>399</v>
      </c>
      <c r="K254" s="8"/>
      <c r="L254" s="43"/>
      <c r="M254" s="8"/>
      <c r="N254" s="185" t="s">
        <v>398</v>
      </c>
      <c r="O254" s="186" t="s">
        <v>107</v>
      </c>
      <c r="P254" s="221"/>
      <c r="Q254" s="58"/>
      <c r="R254" s="58"/>
      <c r="S254" s="58"/>
      <c r="T254" s="58"/>
      <c r="U254" s="58"/>
      <c r="V254" s="220"/>
    </row>
    <row r="255" spans="1:33" x14ac:dyDescent="0.3">
      <c r="A255" s="56"/>
      <c r="B255" s="56"/>
      <c r="C255" s="98"/>
      <c r="D255" s="99"/>
      <c r="E255" s="99"/>
      <c r="F255" s="99"/>
      <c r="G255" s="99"/>
      <c r="H255" s="99"/>
      <c r="I255" s="99"/>
      <c r="J255" s="100"/>
      <c r="K255" s="39"/>
      <c r="L255" s="101"/>
      <c r="M255" s="39"/>
      <c r="N255" s="102"/>
      <c r="O255" s="103"/>
      <c r="P255" s="104"/>
      <c r="Q255" s="56"/>
      <c r="R255" s="56"/>
      <c r="S255" s="56"/>
      <c r="T255" s="56"/>
      <c r="U255" s="56"/>
      <c r="V255" s="200"/>
    </row>
    <row r="256" spans="1:33" x14ac:dyDescent="0.3">
      <c r="A256" s="56"/>
      <c r="B256" s="56"/>
      <c r="C256" s="98"/>
      <c r="D256" s="99"/>
      <c r="E256" s="99"/>
      <c r="F256" s="99"/>
      <c r="G256" s="99"/>
      <c r="H256" s="99"/>
      <c r="I256" s="99"/>
      <c r="J256" s="100"/>
      <c r="K256" s="39"/>
      <c r="L256" s="101"/>
      <c r="M256" s="39"/>
      <c r="N256" s="102"/>
      <c r="O256" s="103"/>
      <c r="P256" s="104"/>
      <c r="Q256" s="56"/>
      <c r="R256" s="56"/>
      <c r="S256" s="56"/>
      <c r="T256" s="56"/>
      <c r="U256" s="56"/>
      <c r="V256" s="200"/>
    </row>
    <row r="257" spans="1:22" x14ac:dyDescent="0.3">
      <c r="A257" s="97"/>
      <c r="B257" s="97"/>
      <c r="C257" s="98"/>
      <c r="D257" s="99"/>
      <c r="E257" s="99" t="s">
        <v>249</v>
      </c>
      <c r="F257" s="99"/>
      <c r="G257" s="99"/>
      <c r="H257" s="180">
        <f>COUNTIF($H$8:$H$248,"=Angell")</f>
        <v>46</v>
      </c>
      <c r="I257" s="180"/>
      <c r="J257" s="100"/>
      <c r="K257" s="39"/>
      <c r="L257" s="101"/>
      <c r="M257" s="39"/>
      <c r="N257" s="102"/>
      <c r="O257" s="103"/>
      <c r="P257" s="104"/>
      <c r="Q257" s="56"/>
      <c r="R257" s="56"/>
      <c r="S257" s="56"/>
      <c r="T257" s="56"/>
      <c r="U257" s="56"/>
      <c r="V257" s="200"/>
    </row>
    <row r="258" spans="1:22" x14ac:dyDescent="0.3">
      <c r="A258" s="49"/>
      <c r="B258" s="49"/>
      <c r="C258" s="50"/>
      <c r="D258" s="99"/>
      <c r="E258" s="11" t="s">
        <v>240</v>
      </c>
      <c r="F258" s="11"/>
      <c r="G258" s="11"/>
      <c r="H258" s="180">
        <f>COUNTIF($H$8:$H$248,"=Catelyn")</f>
        <v>32</v>
      </c>
      <c r="I258" s="180"/>
      <c r="J258" s="12"/>
      <c r="K258" s="14"/>
      <c r="L258" s="51"/>
      <c r="M258" s="14"/>
      <c r="N258" s="52"/>
      <c r="O258" s="15"/>
      <c r="P258" s="39"/>
      <c r="Q258" s="14"/>
      <c r="R258" s="39"/>
      <c r="S258" s="39"/>
      <c r="T258" s="39"/>
      <c r="U258" s="39"/>
      <c r="V258" s="201"/>
    </row>
    <row r="259" spans="1:22" x14ac:dyDescent="0.3">
      <c r="A259" s="49">
        <f>COUNTIF(A9:A248,"=Yes")</f>
        <v>85</v>
      </c>
      <c r="B259" s="49"/>
      <c r="C259" s="50"/>
      <c r="D259" s="99"/>
      <c r="E259" s="11" t="s">
        <v>148</v>
      </c>
      <c r="F259" s="11"/>
      <c r="G259" s="11"/>
      <c r="H259" s="180">
        <f>COUNTIF($H$8:$H$248,"=Jaime")</f>
        <v>17</v>
      </c>
      <c r="I259" s="180"/>
      <c r="J259" s="89"/>
      <c r="K259" s="89">
        <f>SUMIFS(K8:K248,N8:N248,"=Yes")</f>
        <v>12507</v>
      </c>
      <c r="L259" s="89">
        <f>SUMIFS(L8:L248,N8:N248,"=Yes")</f>
        <v>639425</v>
      </c>
      <c r="M259" s="13">
        <f>SUMIFS(M8:M248,N8:N248,"=Yes")</f>
        <v>678</v>
      </c>
      <c r="N259" s="49">
        <f>COUNTIF(N8:N248,"=Yes")</f>
        <v>118</v>
      </c>
      <c r="O259" s="84">
        <f t="shared" ref="O259:U259" si="25">COUNTIF(O8:O248,"=Operational")</f>
        <v>24</v>
      </c>
      <c r="P259" s="84">
        <f t="shared" si="25"/>
        <v>3</v>
      </c>
      <c r="Q259" s="84">
        <f t="shared" si="25"/>
        <v>3</v>
      </c>
      <c r="R259" s="84">
        <f t="shared" si="25"/>
        <v>24</v>
      </c>
      <c r="S259" s="84">
        <f t="shared" si="25"/>
        <v>17</v>
      </c>
      <c r="T259" s="84">
        <f t="shared" si="25"/>
        <v>15</v>
      </c>
      <c r="U259" s="84">
        <f t="shared" si="25"/>
        <v>0</v>
      </c>
      <c r="V259" s="201"/>
    </row>
    <row r="260" spans="1:22" ht="25.8" x14ac:dyDescent="0.3">
      <c r="A260" s="18"/>
      <c r="B260" s="18"/>
      <c r="E260" s="11" t="s">
        <v>149</v>
      </c>
      <c r="F260" s="11"/>
      <c r="G260" s="11"/>
      <c r="H260" s="180">
        <f>COUNTIF($H$8:$H$248,"=Ted")</f>
        <v>19</v>
      </c>
      <c r="I260" s="180"/>
      <c r="J260" s="12"/>
      <c r="K260" s="90">
        <f>SUMIFS(K8:K248,N8:N248,"=New")</f>
        <v>0</v>
      </c>
      <c r="L260" s="90">
        <f>SUMIFS(L8:L248,N8:N248,"=New")</f>
        <v>0</v>
      </c>
      <c r="M260" s="83">
        <f>SUMIFS(M8:M248,N8:N248,"=New")</f>
        <v>8</v>
      </c>
      <c r="N260" s="13">
        <f>COUNTIF(N8:N248,"=New")</f>
        <v>66</v>
      </c>
      <c r="O260" s="84">
        <f t="shared" ref="O260:U260" si="26">COUNTIF(O8:O248,"=Underway")</f>
        <v>25</v>
      </c>
      <c r="P260" s="84">
        <f t="shared" si="26"/>
        <v>0</v>
      </c>
      <c r="Q260" s="84">
        <f t="shared" si="26"/>
        <v>5</v>
      </c>
      <c r="R260" s="84">
        <f t="shared" si="26"/>
        <v>25</v>
      </c>
      <c r="S260" s="84">
        <f t="shared" si="26"/>
        <v>28</v>
      </c>
      <c r="T260" s="84">
        <f t="shared" si="26"/>
        <v>26</v>
      </c>
      <c r="U260" s="84">
        <f t="shared" si="26"/>
        <v>9</v>
      </c>
      <c r="V260" s="17"/>
    </row>
    <row r="261" spans="1:22" ht="25.8" x14ac:dyDescent="0.3">
      <c r="A261" s="18"/>
      <c r="B261" s="18"/>
      <c r="E261" s="11" t="s">
        <v>151</v>
      </c>
      <c r="F261" s="11"/>
      <c r="G261" s="11"/>
      <c r="H261" s="180">
        <f>COUNTIF($H$8:$H$248,"=Brett")</f>
        <v>74</v>
      </c>
      <c r="I261" s="180"/>
      <c r="J261" s="12"/>
      <c r="K261" s="90">
        <f>SUM(K8:K248)</f>
        <v>12581</v>
      </c>
      <c r="L261" s="90">
        <f>SUM(L8:L248)</f>
        <v>640682</v>
      </c>
      <c r="M261" s="83">
        <f>SUMIFS(M8:M248,N8:N248,"=Included")</f>
        <v>1749</v>
      </c>
      <c r="N261" s="13">
        <f>COUNTIF(N9:N250,"=Included")</f>
        <v>13</v>
      </c>
      <c r="O261" s="84">
        <f t="shared" ref="O261:U261" si="27">COUNTIF(O8:O248,"=Planning")</f>
        <v>9</v>
      </c>
      <c r="P261" s="84">
        <f t="shared" si="27"/>
        <v>2</v>
      </c>
      <c r="Q261" s="84">
        <f t="shared" si="27"/>
        <v>3</v>
      </c>
      <c r="R261" s="84">
        <f t="shared" si="27"/>
        <v>15</v>
      </c>
      <c r="S261" s="84">
        <f t="shared" si="27"/>
        <v>20</v>
      </c>
      <c r="T261" s="84">
        <f t="shared" si="27"/>
        <v>16</v>
      </c>
      <c r="U261" s="84">
        <f t="shared" si="27"/>
        <v>0</v>
      </c>
      <c r="V261" s="17"/>
    </row>
    <row r="262" spans="1:22" ht="25.8" x14ac:dyDescent="0.3">
      <c r="A262" s="18"/>
      <c r="B262" s="18"/>
      <c r="E262" s="11" t="s">
        <v>150</v>
      </c>
      <c r="F262" s="11"/>
      <c r="G262" s="11"/>
      <c r="H262" s="180">
        <f>COUNTIF($H$8:$H$248,"=Keith")</f>
        <v>1</v>
      </c>
      <c r="I262" s="180"/>
      <c r="J262" s="12"/>
      <c r="K262" s="91">
        <f>ROUND((K259+K260)/K261*100,0)</f>
        <v>99</v>
      </c>
      <c r="L262" s="91">
        <f>ROUND((L259+L260)/L261*100,0)</f>
        <v>100</v>
      </c>
      <c r="M262" s="83"/>
      <c r="N262" s="13"/>
      <c r="O262" s="15"/>
      <c r="P262" s="37"/>
      <c r="Q262" s="16"/>
      <c r="R262" s="38"/>
      <c r="S262" s="37"/>
      <c r="T262" s="39"/>
      <c r="U262" s="39"/>
      <c r="V262" s="17"/>
    </row>
    <row r="263" spans="1:22" ht="25.8" x14ac:dyDescent="0.3">
      <c r="A263" s="18"/>
      <c r="B263" s="18"/>
      <c r="E263" s="11"/>
      <c r="F263" s="11"/>
      <c r="G263" s="11"/>
      <c r="H263" s="180"/>
      <c r="I263" s="180"/>
      <c r="J263" s="12"/>
      <c r="K263" s="91"/>
      <c r="L263" s="91"/>
      <c r="M263" s="83"/>
      <c r="N263" s="13"/>
      <c r="O263" s="15"/>
      <c r="P263" s="37"/>
      <c r="Q263" s="16"/>
      <c r="R263" s="38"/>
      <c r="S263" s="37"/>
      <c r="T263" s="39"/>
      <c r="U263" s="39"/>
      <c r="V263" s="17"/>
    </row>
    <row r="264" spans="1:22" ht="25.8" x14ac:dyDescent="0.3">
      <c r="A264" s="18"/>
      <c r="B264" s="18"/>
      <c r="E264" s="11"/>
      <c r="F264" s="11"/>
      <c r="G264" s="11"/>
      <c r="H264" s="99"/>
      <c r="I264" s="99"/>
      <c r="J264" s="12"/>
      <c r="K264" s="12"/>
      <c r="L264" s="44"/>
      <c r="M264" s="83"/>
      <c r="N264" s="13"/>
      <c r="O264" s="15"/>
      <c r="P264" s="37"/>
      <c r="Q264" s="16"/>
      <c r="R264" s="38"/>
      <c r="S264" s="37"/>
      <c r="T264" s="39"/>
      <c r="U264" s="39"/>
      <c r="V264" s="17"/>
    </row>
    <row r="265" spans="1:22" ht="25.8" x14ac:dyDescent="0.45">
      <c r="A265" s="18"/>
      <c r="B265" s="18"/>
      <c r="C265" s="27" t="s">
        <v>93</v>
      </c>
      <c r="D265" s="194"/>
      <c r="E265" s="46"/>
      <c r="F265" s="46"/>
      <c r="G265" s="46"/>
      <c r="H265" s="181"/>
      <c r="I265" s="181"/>
      <c r="J265" s="28" t="s">
        <v>104</v>
      </c>
      <c r="K265" s="28" t="s">
        <v>92</v>
      </c>
      <c r="L265" s="28" t="s">
        <v>105</v>
      </c>
      <c r="M265" s="28" t="s">
        <v>83</v>
      </c>
      <c r="N265" s="14"/>
      <c r="O265" s="15"/>
      <c r="P265" s="37"/>
      <c r="Q265" s="13"/>
      <c r="R265" s="39"/>
      <c r="S265" s="56"/>
    </row>
    <row r="266" spans="1:22" ht="27" customHeight="1" x14ac:dyDescent="0.45">
      <c r="C266" s="29" t="s">
        <v>81</v>
      </c>
      <c r="D266" s="193"/>
      <c r="J266" s="47">
        <f>COUNTIF($E$9:$E$248,"=1")-1</f>
        <v>27</v>
      </c>
      <c r="K266" s="48">
        <f>SUMIF($E$9:$E$248,1,$K$9:$K$248)</f>
        <v>12377</v>
      </c>
      <c r="L266" s="48">
        <f>SUMIF($E$9:$E$248,1,$L$9:$L$248)</f>
        <v>634053</v>
      </c>
      <c r="M266" s="30">
        <f>SUMIF($E$9:$E$260,1,$M$9:$M$260)</f>
        <v>0</v>
      </c>
      <c r="N266" s="14"/>
      <c r="O266" s="15"/>
      <c r="P266" s="37"/>
      <c r="Q266" s="35"/>
      <c r="R266" s="40"/>
      <c r="S266" s="57"/>
    </row>
    <row r="267" spans="1:22" ht="23.4" x14ac:dyDescent="0.45">
      <c r="C267" s="29" t="s">
        <v>91</v>
      </c>
      <c r="D267" s="193"/>
      <c r="J267" s="47">
        <f>COUNTIF($E$9:$E$248,"=2")-1</f>
        <v>9</v>
      </c>
      <c r="K267" s="48">
        <f>SUMIF($E$9:$E$248,2,$K$9:$K$248)</f>
        <v>204</v>
      </c>
      <c r="L267" s="48">
        <f>SUMIF($E$9:$E$248,2,$L$9:$L$248)</f>
        <v>6629</v>
      </c>
      <c r="M267" s="30">
        <f>SUMIF($E$9:$E$260,2,$M$9:$M$260)</f>
        <v>0</v>
      </c>
      <c r="N267" s="14"/>
      <c r="O267" s="15"/>
      <c r="P267" s="37"/>
      <c r="Q267" s="35"/>
      <c r="R267" s="40"/>
      <c r="S267" s="57"/>
    </row>
    <row r="268" spans="1:22" ht="25.2" customHeight="1" x14ac:dyDescent="0.45">
      <c r="C268" s="29" t="s">
        <v>52</v>
      </c>
      <c r="D268" s="193"/>
      <c r="J268" s="47">
        <f>COUNTIF($E$9:$E$248,"=3")-1</f>
        <v>19</v>
      </c>
      <c r="K268" s="48">
        <f>SUMIF($E$9:$E$248,3,$K$9:$K$248)</f>
        <v>0</v>
      </c>
      <c r="L268" s="48">
        <f>SUMIF($E$9:$E$248,3,$L$9:$L$248)</f>
        <v>0</v>
      </c>
      <c r="M268" s="30">
        <f>SUMIF($E$9:$E$260,3,$M$9:$M$260)</f>
        <v>415</v>
      </c>
      <c r="N268" s="14"/>
      <c r="O268" s="15"/>
      <c r="P268" s="37"/>
      <c r="V268" s="203"/>
    </row>
    <row r="269" spans="1:22" ht="25.2" customHeight="1" x14ac:dyDescent="0.45">
      <c r="C269" s="29" t="s">
        <v>53</v>
      </c>
      <c r="D269" s="193"/>
      <c r="J269" s="47">
        <f>COUNTIF($E$9:$E$248,"=4")</f>
        <v>9</v>
      </c>
      <c r="K269" s="48">
        <f>SUMIF($E$9:$E$248,4,$K$9:$K$248)</f>
        <v>0</v>
      </c>
      <c r="L269" s="48">
        <f>SUMIF($E$9:$E$248,4,$L$9:$L$248)</f>
        <v>0</v>
      </c>
      <c r="M269" s="30">
        <f>SUMIF($E$9:$E$260,4,$M$9:$M$260)</f>
        <v>67</v>
      </c>
      <c r="N269" s="14"/>
      <c r="O269" s="15"/>
      <c r="P269" s="37"/>
      <c r="V269" s="203"/>
    </row>
    <row r="270" spans="1:22" ht="25.2" customHeight="1" x14ac:dyDescent="0.45">
      <c r="C270" s="29" t="s">
        <v>48</v>
      </c>
      <c r="D270" s="193"/>
      <c r="J270" s="47">
        <f>COUNTIF($E$9:$E$248,"=6")-1</f>
        <v>17</v>
      </c>
      <c r="K270" s="48">
        <f>SUMIF($E$9:$E$248,6,$K$9:$K$248)</f>
        <v>0</v>
      </c>
      <c r="L270" s="48">
        <f>SUMIF($E$9:$E$248,6,$L$9:$L$248)</f>
        <v>0</v>
      </c>
      <c r="M270" s="30">
        <f>SUMIF($E$9:$E$260,6,$M$9:$M$260)</f>
        <v>0</v>
      </c>
      <c r="N270" s="9"/>
      <c r="O270" s="10"/>
      <c r="V270" s="204"/>
    </row>
    <row r="271" spans="1:22" ht="25.2" customHeight="1" x14ac:dyDescent="0.45">
      <c r="A271" s="168"/>
      <c r="C271" s="29" t="s">
        <v>224</v>
      </c>
      <c r="D271" s="193"/>
      <c r="J271" s="47">
        <f>COUNTIF($E$9:$E$248,"=6.1")-1</f>
        <v>5</v>
      </c>
      <c r="K271" s="48">
        <f>SUMIF($E$9:$E$248,6.1,$K$9:$K$248)</f>
        <v>0</v>
      </c>
      <c r="L271" s="48">
        <f>SUMIF($E$9:$E$248,6.1,$L$9:$L$248)</f>
        <v>0</v>
      </c>
      <c r="M271" s="30">
        <f>SUMIF($E$9:$E$260,6.1,$M$9:$M$260)</f>
        <v>0</v>
      </c>
      <c r="N271" s="9"/>
      <c r="O271" s="10"/>
      <c r="V271" s="204"/>
    </row>
    <row r="272" spans="1:22" ht="23.4" x14ac:dyDescent="0.45">
      <c r="C272" s="29" t="s">
        <v>82</v>
      </c>
      <c r="D272" s="193"/>
      <c r="J272" s="47">
        <f>COUNTIF($E$9:$E$248,"=7")-1</f>
        <v>2</v>
      </c>
      <c r="K272" s="48">
        <f>SUMIF($E$9:$E$248,7,$K$9:$K$248)</f>
        <v>0</v>
      </c>
      <c r="L272" s="48">
        <f>SUMIF($E$9:$E$248,7,$L$9:$L$248)</f>
        <v>0</v>
      </c>
      <c r="M272" s="30">
        <f>SUMIF($E$9:$E$260,7,$M$9:$M$260)</f>
        <v>0</v>
      </c>
      <c r="V272" s="205"/>
    </row>
    <row r="273" spans="1:13" ht="23.4" x14ac:dyDescent="0.45">
      <c r="C273" s="29" t="s">
        <v>127</v>
      </c>
      <c r="D273" s="193"/>
      <c r="J273" s="47">
        <f>COUNTIF($E$9:$E$248,"=5")-1</f>
        <v>63</v>
      </c>
      <c r="K273" s="48">
        <f>SUMIF($E$9:$E$248,5,$K$9:$K$248)</f>
        <v>0</v>
      </c>
      <c r="L273" s="48">
        <f>SUMIF($E$9:$E$248,5,$L$9:$L$248)</f>
        <v>0</v>
      </c>
      <c r="M273" s="30">
        <f>SUMIF($E$9:$E$260,5,$M$9:$M$260)</f>
        <v>1989</v>
      </c>
    </row>
    <row r="274" spans="1:13" ht="23.4" x14ac:dyDescent="0.45">
      <c r="A274" s="168"/>
      <c r="C274" s="29" t="s">
        <v>223</v>
      </c>
      <c r="D274" s="193"/>
      <c r="J274" s="47">
        <f>COUNTIF($E$9:$E$248,"=5.1")-1</f>
        <v>64</v>
      </c>
      <c r="K274" s="48">
        <f>SUMIF($E$9:$E$248,5.1,$K$9:$K$248)</f>
        <v>0</v>
      </c>
      <c r="L274" s="48">
        <f>SUMIF($E$9:$E$248,5.1,$L$9:$L$248)</f>
        <v>0</v>
      </c>
      <c r="M274" s="30">
        <f>SUMIF($E$9:$E$260,5.1,$M$9:$M$260)</f>
        <v>3</v>
      </c>
    </row>
    <row r="275" spans="1:13" ht="23.4" x14ac:dyDescent="0.45">
      <c r="C275" s="29" t="s">
        <v>222</v>
      </c>
      <c r="D275" s="193"/>
      <c r="J275" s="47">
        <f>COUNTIF($E$9:$E$248,"=8")-1</f>
        <v>7</v>
      </c>
      <c r="K275" s="48">
        <f>SUMIF($E$9:$E$248,8,$K$9:$K$248)</f>
        <v>0</v>
      </c>
      <c r="L275" s="48">
        <f>SUMIF($E$9:$E$248,8,$L$9:$L$248)</f>
        <v>0</v>
      </c>
      <c r="M275" s="30">
        <f>SUMIF($E$9:$E$260,8,$M$9:$M$260)</f>
        <v>0</v>
      </c>
    </row>
    <row r="276" spans="1:13" ht="23.4" x14ac:dyDescent="0.45">
      <c r="C276" s="29" t="s">
        <v>28</v>
      </c>
      <c r="D276" s="193"/>
      <c r="J276" s="47">
        <f>COUNTIF($E$9:$E$248,"=9")-1</f>
        <v>3</v>
      </c>
      <c r="K276" s="48">
        <f>SUMIF($E$9:$E$248,9,$K$9:$K$248)</f>
        <v>0</v>
      </c>
      <c r="L276" s="48">
        <f>SUMIF($E$9:$E$248,9,$L$9:$L$248)</f>
        <v>0</v>
      </c>
      <c r="M276" s="30">
        <f>SUMIF($E$9:$E$260,9,$M$9:$M$260)</f>
        <v>0</v>
      </c>
    </row>
    <row r="277" spans="1:13" ht="23.4" x14ac:dyDescent="0.45">
      <c r="C277" s="29" t="s">
        <v>84</v>
      </c>
      <c r="D277" s="193"/>
      <c r="J277" s="47">
        <f>COUNTIF($E$9:$E$248,"=10")</f>
        <v>0</v>
      </c>
      <c r="K277" s="48">
        <f>SUMIF($E$9:$E$248,10,$K$9:$K$248)</f>
        <v>0</v>
      </c>
      <c r="L277" s="48">
        <f>SUMIF($E$9:$E$248,10,$L$9:$L$248)</f>
        <v>0</v>
      </c>
      <c r="M277" s="30">
        <f>SUMIF($E$9:$E$260,10,$M$9:$M$260)</f>
        <v>0</v>
      </c>
    </row>
    <row r="278" spans="1:13" ht="23.4" x14ac:dyDescent="0.45">
      <c r="C278" s="31" t="s">
        <v>49</v>
      </c>
      <c r="D278" s="194"/>
      <c r="J278" s="32">
        <f>SUM(J266:J277)</f>
        <v>225</v>
      </c>
      <c r="K278" s="32">
        <f>SUM(K266:K277)</f>
        <v>12581</v>
      </c>
      <c r="L278" s="32">
        <f>SUM(L266:L277)</f>
        <v>640682</v>
      </c>
      <c r="M278" s="32">
        <f>SUM(M266:M277)</f>
        <v>2474</v>
      </c>
    </row>
    <row r="279" spans="1:13" ht="21" customHeight="1" x14ac:dyDescent="0.3">
      <c r="C279" s="21"/>
      <c r="E279" s="20"/>
      <c r="F279" s="20"/>
      <c r="G279" s="20"/>
      <c r="J279" s="26"/>
      <c r="K279" s="22"/>
      <c r="L279" s="45"/>
      <c r="M279" s="22"/>
    </row>
    <row r="280" spans="1:13" x14ac:dyDescent="0.3">
      <c r="C280" s="21"/>
      <c r="J280" s="26"/>
      <c r="K280" s="22"/>
      <c r="L280" s="45"/>
      <c r="M280" s="22"/>
    </row>
    <row r="281" spans="1:13" x14ac:dyDescent="0.3">
      <c r="C281" s="21"/>
      <c r="J281" s="26"/>
      <c r="K281" s="22"/>
      <c r="L281" s="45"/>
      <c r="M281" s="22"/>
    </row>
  </sheetData>
  <autoFilter ref="A7:X254"/>
  <sortState ref="A156:AO160">
    <sortCondition ref="C156:C160"/>
  </sortState>
  <mergeCells count="6">
    <mergeCell ref="A1:V1"/>
    <mergeCell ref="A6:V6"/>
    <mergeCell ref="A3:V3"/>
    <mergeCell ref="A2:V2"/>
    <mergeCell ref="A4:V4"/>
    <mergeCell ref="A5:V5"/>
  </mergeCells>
  <pageMargins left="0.25" right="0.25" top="0.5" bottom="0.75" header="0.3" footer="0.5"/>
  <pageSetup scale="34" fitToHeight="0" orientation="landscape" r:id="rId1"/>
  <headerFooter>
    <oddFooter>Page &amp;P of &amp;N</oddFooter>
  </headerFooter>
  <ignoredErrors>
    <ignoredError sqref="L273:M273" 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"/>
  <sheetViews>
    <sheetView tabSelected="1" workbookViewId="0">
      <selection activeCell="B10" sqref="B10"/>
    </sheetView>
  </sheetViews>
  <sheetFormatPr defaultRowHeight="14.4" x14ac:dyDescent="0.3"/>
  <cols>
    <col min="1" max="1" width="39.6640625" bestFit="1" customWidth="1"/>
  </cols>
  <sheetData>
    <row r="1" spans="1:2" x14ac:dyDescent="0.3">
      <c r="A1" t="s">
        <v>614</v>
      </c>
      <c r="B1" t="s">
        <v>626</v>
      </c>
    </row>
    <row r="2" spans="1:2" x14ac:dyDescent="0.3">
      <c r="A2" t="s">
        <v>613</v>
      </c>
    </row>
    <row r="3" spans="1:2" x14ac:dyDescent="0.3">
      <c r="A3" t="s">
        <v>14</v>
      </c>
      <c r="B3" t="s">
        <v>627</v>
      </c>
    </row>
    <row r="4" spans="1:2" x14ac:dyDescent="0.3">
      <c r="A4" t="s">
        <v>292</v>
      </c>
      <c r="B4" t="s">
        <v>628</v>
      </c>
    </row>
    <row r="5" spans="1:2" x14ac:dyDescent="0.3">
      <c r="A5" t="s">
        <v>39</v>
      </c>
      <c r="B5" t="s">
        <v>629</v>
      </c>
    </row>
    <row r="6" spans="1:2" x14ac:dyDescent="0.3">
      <c r="A6" t="s">
        <v>250</v>
      </c>
      <c r="B6" t="s">
        <v>630</v>
      </c>
    </row>
    <row r="7" spans="1:2" x14ac:dyDescent="0.3">
      <c r="A7" t="s">
        <v>251</v>
      </c>
      <c r="B7" t="s">
        <v>630</v>
      </c>
    </row>
    <row r="8" spans="1:2" x14ac:dyDescent="0.3">
      <c r="A8" t="s">
        <v>147</v>
      </c>
      <c r="B8" t="s">
        <v>631</v>
      </c>
    </row>
    <row r="9" spans="1:2" x14ac:dyDescent="0.3">
      <c r="A9" t="s">
        <v>313</v>
      </c>
      <c r="B9" t="s">
        <v>632</v>
      </c>
    </row>
    <row r="10" spans="1:2" x14ac:dyDescent="0.3">
      <c r="A10" t="s">
        <v>15</v>
      </c>
    </row>
    <row r="11" spans="1:2" x14ac:dyDescent="0.3">
      <c r="A11" t="s">
        <v>615</v>
      </c>
    </row>
    <row r="12" spans="1:2" x14ac:dyDescent="0.3">
      <c r="A12" t="s">
        <v>616</v>
      </c>
    </row>
    <row r="13" spans="1:2" x14ac:dyDescent="0.3">
      <c r="A13" t="s">
        <v>617</v>
      </c>
    </row>
    <row r="14" spans="1:2" x14ac:dyDescent="0.3">
      <c r="A14" t="s">
        <v>618</v>
      </c>
    </row>
    <row r="15" spans="1:2" x14ac:dyDescent="0.3">
      <c r="A15" t="s">
        <v>619</v>
      </c>
    </row>
    <row r="16" spans="1:2" x14ac:dyDescent="0.3">
      <c r="A16" t="s">
        <v>620</v>
      </c>
    </row>
    <row r="17" spans="1:1" x14ac:dyDescent="0.3">
      <c r="A17" t="s">
        <v>621</v>
      </c>
    </row>
    <row r="18" spans="1:1" x14ac:dyDescent="0.3">
      <c r="A18" t="s">
        <v>622</v>
      </c>
    </row>
    <row r="19" spans="1:1" x14ac:dyDescent="0.3">
      <c r="A19" t="s">
        <v>623</v>
      </c>
    </row>
    <row r="20" spans="1:1" x14ac:dyDescent="0.3">
      <c r="A20" t="s">
        <v>624</v>
      </c>
    </row>
    <row r="21" spans="1:1" x14ac:dyDescent="0.3">
      <c r="A21" t="s">
        <v>625</v>
      </c>
    </row>
    <row r="22" spans="1:1" x14ac:dyDescent="0.3">
      <c r="A22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B67"/>
  <sheetViews>
    <sheetView zoomScale="80" zoomScaleNormal="80" workbookViewId="0">
      <selection activeCell="A23" sqref="A23"/>
    </sheetView>
  </sheetViews>
  <sheetFormatPr defaultColWidth="9.109375" defaultRowHeight="14.4" x14ac:dyDescent="0.3"/>
  <cols>
    <col min="1" max="1" width="55.6640625" style="19" customWidth="1"/>
    <col min="2" max="3" width="16.6640625" style="6" customWidth="1"/>
    <col min="4" max="4" width="18.6640625" style="2" customWidth="1"/>
    <col min="5" max="5" width="17.6640625" style="34" customWidth="1"/>
    <col min="6" max="6" width="40.5546875" style="1" hidden="1" customWidth="1"/>
    <col min="7" max="7" width="9.109375" style="4"/>
    <col min="8" max="9" width="9.109375" style="4" customWidth="1"/>
    <col min="10" max="11" width="9.109375" style="4"/>
    <col min="12" max="12" width="9.109375" style="4" customWidth="1"/>
    <col min="13" max="13" width="9.109375" style="4"/>
    <col min="14" max="23" width="9.109375" style="4" customWidth="1"/>
    <col min="24" max="25" width="9.109375" style="4"/>
    <col min="26" max="28" width="9.109375" style="4" customWidth="1"/>
    <col min="29" max="16384" width="9.109375" style="4"/>
  </cols>
  <sheetData>
    <row r="1" spans="1:28" ht="21" x14ac:dyDescent="0.3">
      <c r="A1" s="229"/>
      <c r="B1" s="229"/>
      <c r="C1" s="229"/>
      <c r="D1" s="229"/>
      <c r="E1" s="229"/>
      <c r="F1" s="229"/>
    </row>
    <row r="2" spans="1:28" ht="27" customHeight="1" x14ac:dyDescent="0.4">
      <c r="A2" s="237" t="s">
        <v>106</v>
      </c>
      <c r="B2" s="237"/>
      <c r="C2" s="237"/>
      <c r="D2" s="237"/>
      <c r="E2" s="237"/>
      <c r="F2" s="111"/>
    </row>
    <row r="3" spans="1:28" ht="27" customHeight="1" x14ac:dyDescent="0.4">
      <c r="A3" s="237" t="s">
        <v>179</v>
      </c>
      <c r="B3" s="237"/>
      <c r="C3" s="237"/>
      <c r="D3" s="237"/>
      <c r="E3" s="237"/>
      <c r="F3" s="111"/>
    </row>
    <row r="4" spans="1:28" ht="27" customHeight="1" x14ac:dyDescent="0.3">
      <c r="A4" s="238">
        <f ca="1">TODAY()</f>
        <v>42599</v>
      </c>
      <c r="B4" s="238"/>
      <c r="C4" s="238"/>
      <c r="D4" s="238"/>
      <c r="E4" s="238"/>
      <c r="F4" s="110"/>
      <c r="G4" s="110"/>
    </row>
    <row r="5" spans="1:28" ht="27" customHeight="1" thickBot="1" x14ac:dyDescent="0.35">
      <c r="A5" s="236"/>
      <c r="B5" s="236"/>
      <c r="C5" s="236"/>
      <c r="D5" s="236"/>
      <c r="E5" s="236"/>
      <c r="F5" s="4"/>
    </row>
    <row r="6" spans="1:28" s="96" customFormat="1" ht="32.4" x14ac:dyDescent="0.4">
      <c r="A6" s="126" t="s">
        <v>14</v>
      </c>
      <c r="B6" s="112" t="s">
        <v>177</v>
      </c>
      <c r="C6" s="112" t="s">
        <v>178</v>
      </c>
      <c r="D6" s="112" t="s">
        <v>176</v>
      </c>
      <c r="E6" s="127" t="s">
        <v>180</v>
      </c>
      <c r="F6" s="122" t="s">
        <v>34</v>
      </c>
      <c r="H6" s="7"/>
      <c r="I6" s="7"/>
      <c r="L6" s="7"/>
      <c r="N6" s="7"/>
      <c r="O6" s="7"/>
      <c r="P6" s="7"/>
      <c r="Q6" s="7"/>
      <c r="R6" s="7"/>
      <c r="S6" s="7"/>
      <c r="T6" s="7"/>
      <c r="U6" s="7"/>
      <c r="V6" s="7"/>
      <c r="W6" s="7"/>
      <c r="Z6" s="7"/>
      <c r="AA6" s="7"/>
      <c r="AB6" s="7"/>
    </row>
    <row r="7" spans="1:28" s="86" customFormat="1" ht="18" x14ac:dyDescent="0.35">
      <c r="A7" s="128" t="s">
        <v>189</v>
      </c>
      <c r="B7" s="113" t="s">
        <v>134</v>
      </c>
      <c r="C7" s="113"/>
      <c r="D7" s="114"/>
      <c r="E7" s="129"/>
      <c r="F7" s="123"/>
    </row>
    <row r="8" spans="1:28" s="86" customFormat="1" ht="18" x14ac:dyDescent="0.35">
      <c r="A8" s="130" t="s">
        <v>0</v>
      </c>
      <c r="B8" s="115" t="s">
        <v>17</v>
      </c>
      <c r="C8" s="115"/>
      <c r="D8" s="116" t="s">
        <v>120</v>
      </c>
      <c r="E8" s="129"/>
      <c r="F8" s="123"/>
    </row>
    <row r="9" spans="1:28" ht="21" customHeight="1" x14ac:dyDescent="0.3">
      <c r="A9" s="131" t="s">
        <v>1</v>
      </c>
      <c r="B9" s="115" t="s">
        <v>17</v>
      </c>
      <c r="C9" s="115"/>
      <c r="D9" s="116" t="s">
        <v>120</v>
      </c>
      <c r="E9" s="132"/>
      <c r="F9" s="124"/>
    </row>
    <row r="10" spans="1:28" ht="21" x14ac:dyDescent="0.3">
      <c r="A10" s="131" t="s">
        <v>50</v>
      </c>
      <c r="B10" s="117" t="s">
        <v>17</v>
      </c>
      <c r="C10" s="117"/>
      <c r="D10" s="116" t="s">
        <v>120</v>
      </c>
      <c r="E10" s="133"/>
      <c r="F10" s="124"/>
    </row>
    <row r="11" spans="1:28" ht="21" x14ac:dyDescent="0.3">
      <c r="A11" s="131" t="s">
        <v>41</v>
      </c>
      <c r="B11" s="115" t="s">
        <v>17</v>
      </c>
      <c r="C11" s="115"/>
      <c r="D11" s="116" t="s">
        <v>120</v>
      </c>
      <c r="E11" s="132"/>
      <c r="F11" s="124"/>
    </row>
    <row r="12" spans="1:28" ht="21" x14ac:dyDescent="0.3">
      <c r="A12" s="134" t="s">
        <v>86</v>
      </c>
      <c r="B12" s="117" t="s">
        <v>17</v>
      </c>
      <c r="C12" s="117"/>
      <c r="D12" s="116" t="s">
        <v>120</v>
      </c>
      <c r="E12" s="133"/>
      <c r="F12" s="124"/>
    </row>
    <row r="13" spans="1:28" ht="21" x14ac:dyDescent="0.3">
      <c r="A13" s="131" t="s">
        <v>36</v>
      </c>
      <c r="B13" s="115" t="s">
        <v>17</v>
      </c>
      <c r="C13" s="115"/>
      <c r="D13" s="116" t="s">
        <v>107</v>
      </c>
      <c r="E13" s="133"/>
      <c r="F13" s="124" t="s">
        <v>121</v>
      </c>
    </row>
    <row r="14" spans="1:28" ht="21" x14ac:dyDescent="0.3">
      <c r="A14" s="131" t="s">
        <v>68</v>
      </c>
      <c r="B14" s="117" t="s">
        <v>17</v>
      </c>
      <c r="C14" s="117"/>
      <c r="D14" s="116"/>
      <c r="E14" s="133"/>
      <c r="F14" s="124"/>
    </row>
    <row r="15" spans="1:28" ht="21" x14ac:dyDescent="0.3">
      <c r="A15" s="131" t="s">
        <v>18</v>
      </c>
      <c r="B15" s="115" t="s">
        <v>17</v>
      </c>
      <c r="C15" s="115"/>
      <c r="D15" s="116" t="s">
        <v>107</v>
      </c>
      <c r="E15" s="133"/>
      <c r="F15" s="124"/>
    </row>
    <row r="16" spans="1:28" ht="21" x14ac:dyDescent="0.3">
      <c r="A16" s="131" t="s">
        <v>2</v>
      </c>
      <c r="B16" s="115" t="s">
        <v>17</v>
      </c>
      <c r="C16" s="115"/>
      <c r="D16" s="116" t="s">
        <v>120</v>
      </c>
      <c r="E16" s="132"/>
      <c r="F16" s="124"/>
    </row>
    <row r="17" spans="1:6" ht="21" x14ac:dyDescent="0.3">
      <c r="A17" s="135" t="s">
        <v>188</v>
      </c>
      <c r="B17" s="113" t="s">
        <v>134</v>
      </c>
      <c r="C17" s="113"/>
      <c r="D17" s="116"/>
      <c r="E17" s="132"/>
      <c r="F17" s="124"/>
    </row>
    <row r="18" spans="1:6" ht="21" x14ac:dyDescent="0.3">
      <c r="A18" s="131" t="s">
        <v>3</v>
      </c>
      <c r="B18" s="115" t="s">
        <v>17</v>
      </c>
      <c r="C18" s="115"/>
      <c r="D18" s="116" t="s">
        <v>120</v>
      </c>
      <c r="E18" s="132"/>
      <c r="F18" s="124"/>
    </row>
    <row r="19" spans="1:6" ht="21" x14ac:dyDescent="0.3">
      <c r="A19" s="134" t="s">
        <v>44</v>
      </c>
      <c r="B19" s="115" t="s">
        <v>17</v>
      </c>
      <c r="C19" s="115"/>
      <c r="D19" s="116" t="s">
        <v>108</v>
      </c>
      <c r="E19" s="133"/>
      <c r="F19" s="124"/>
    </row>
    <row r="20" spans="1:6" ht="21" x14ac:dyDescent="0.3">
      <c r="A20" s="134" t="s">
        <v>4</v>
      </c>
      <c r="B20" s="115" t="s">
        <v>17</v>
      </c>
      <c r="C20" s="115"/>
      <c r="D20" s="116" t="s">
        <v>120</v>
      </c>
      <c r="E20" s="132"/>
      <c r="F20" s="124"/>
    </row>
    <row r="21" spans="1:6" ht="21" x14ac:dyDescent="0.3">
      <c r="A21" s="131" t="s">
        <v>40</v>
      </c>
      <c r="B21" s="115" t="s">
        <v>17</v>
      </c>
      <c r="C21" s="115"/>
      <c r="D21" s="116" t="s">
        <v>120</v>
      </c>
      <c r="E21" s="132"/>
      <c r="F21" s="124"/>
    </row>
    <row r="22" spans="1:6" ht="21" x14ac:dyDescent="0.3">
      <c r="A22" s="131" t="s">
        <v>5</v>
      </c>
      <c r="B22" s="115" t="s">
        <v>17</v>
      </c>
      <c r="C22" s="115"/>
      <c r="D22" s="116" t="s">
        <v>120</v>
      </c>
      <c r="E22" s="132"/>
      <c r="F22" s="124"/>
    </row>
    <row r="23" spans="1:6" ht="21" x14ac:dyDescent="0.3">
      <c r="A23" s="135" t="s">
        <v>187</v>
      </c>
      <c r="B23" s="113" t="s">
        <v>134</v>
      </c>
      <c r="C23" s="113"/>
      <c r="D23" s="116"/>
      <c r="E23" s="132"/>
      <c r="F23" s="124"/>
    </row>
    <row r="24" spans="1:6" ht="21" x14ac:dyDescent="0.3">
      <c r="A24" s="134" t="s">
        <v>131</v>
      </c>
      <c r="B24" s="117" t="s">
        <v>17</v>
      </c>
      <c r="C24" s="117"/>
      <c r="D24" s="116" t="s">
        <v>108</v>
      </c>
      <c r="E24" s="133"/>
      <c r="F24" s="124"/>
    </row>
    <row r="25" spans="1:6" ht="21" x14ac:dyDescent="0.3">
      <c r="A25" s="134" t="s">
        <v>56</v>
      </c>
      <c r="B25" s="117" t="s">
        <v>17</v>
      </c>
      <c r="C25" s="117"/>
      <c r="D25" s="116"/>
      <c r="E25" s="133"/>
      <c r="F25" s="124"/>
    </row>
    <row r="26" spans="1:6" ht="21" x14ac:dyDescent="0.3">
      <c r="A26" s="134" t="s">
        <v>11</v>
      </c>
      <c r="B26" s="117" t="s">
        <v>17</v>
      </c>
      <c r="C26" s="117"/>
      <c r="D26" s="116" t="s">
        <v>108</v>
      </c>
      <c r="E26" s="133"/>
      <c r="F26" s="124"/>
    </row>
    <row r="27" spans="1:6" ht="21" x14ac:dyDescent="0.3">
      <c r="A27" s="134" t="s">
        <v>13</v>
      </c>
      <c r="B27" s="117" t="s">
        <v>17</v>
      </c>
      <c r="C27" s="117"/>
      <c r="D27" s="116" t="s">
        <v>120</v>
      </c>
      <c r="E27" s="133"/>
      <c r="F27" s="124"/>
    </row>
    <row r="28" spans="1:6" ht="21" x14ac:dyDescent="0.3">
      <c r="A28" s="131" t="s">
        <v>8</v>
      </c>
      <c r="B28" s="117" t="s">
        <v>17</v>
      </c>
      <c r="C28" s="117"/>
      <c r="D28" s="116" t="s">
        <v>120</v>
      </c>
      <c r="E28" s="132"/>
      <c r="F28" s="124"/>
    </row>
    <row r="29" spans="1:6" ht="21" x14ac:dyDescent="0.3">
      <c r="A29" s="131" t="s">
        <v>9</v>
      </c>
      <c r="B29" s="115" t="s">
        <v>17</v>
      </c>
      <c r="C29" s="115"/>
      <c r="D29" s="116"/>
      <c r="E29" s="133"/>
      <c r="F29" s="124"/>
    </row>
    <row r="30" spans="1:6" ht="21" x14ac:dyDescent="0.3">
      <c r="A30" s="134" t="s">
        <v>61</v>
      </c>
      <c r="B30" s="117" t="s">
        <v>133</v>
      </c>
      <c r="C30" s="117"/>
      <c r="D30" s="115" t="s">
        <v>108</v>
      </c>
      <c r="E30" s="133"/>
      <c r="F30" s="124"/>
    </row>
    <row r="31" spans="1:6" ht="21" x14ac:dyDescent="0.3">
      <c r="A31" s="134" t="s">
        <v>42</v>
      </c>
      <c r="B31" s="115" t="s">
        <v>133</v>
      </c>
      <c r="C31" s="115"/>
      <c r="D31" s="116" t="s">
        <v>120</v>
      </c>
      <c r="E31" s="133"/>
      <c r="F31" s="124"/>
    </row>
    <row r="32" spans="1:6" ht="21" x14ac:dyDescent="0.3">
      <c r="A32" s="131" t="s">
        <v>10</v>
      </c>
      <c r="B32" s="115" t="s">
        <v>17</v>
      </c>
      <c r="C32" s="115"/>
      <c r="D32" s="116" t="s">
        <v>120</v>
      </c>
      <c r="E32" s="132"/>
      <c r="F32" s="124"/>
    </row>
    <row r="33" spans="1:6" ht="21" x14ac:dyDescent="0.3">
      <c r="A33" s="134" t="s">
        <v>63</v>
      </c>
      <c r="B33" s="117" t="s">
        <v>17</v>
      </c>
      <c r="C33" s="117"/>
      <c r="D33" s="116" t="s">
        <v>108</v>
      </c>
      <c r="E33" s="133"/>
      <c r="F33" s="124"/>
    </row>
    <row r="34" spans="1:6" ht="21" x14ac:dyDescent="0.3">
      <c r="A34" s="134" t="s">
        <v>65</v>
      </c>
      <c r="B34" s="117" t="s">
        <v>17</v>
      </c>
      <c r="C34" s="117"/>
      <c r="D34" s="116" t="s">
        <v>108</v>
      </c>
      <c r="E34" s="133"/>
      <c r="F34" s="124"/>
    </row>
    <row r="35" spans="1:6" ht="21" x14ac:dyDescent="0.3">
      <c r="A35" s="134" t="s">
        <v>69</v>
      </c>
      <c r="B35" s="117" t="s">
        <v>17</v>
      </c>
      <c r="C35" s="117"/>
      <c r="D35" s="116"/>
      <c r="E35" s="133"/>
      <c r="F35" s="124"/>
    </row>
    <row r="36" spans="1:6" ht="21" x14ac:dyDescent="0.3">
      <c r="A36" s="134" t="s">
        <v>12</v>
      </c>
      <c r="B36" s="117" t="s">
        <v>17</v>
      </c>
      <c r="C36" s="117"/>
      <c r="D36" s="116" t="s">
        <v>120</v>
      </c>
      <c r="E36" s="133"/>
      <c r="F36" s="124"/>
    </row>
    <row r="37" spans="1:6" ht="21" x14ac:dyDescent="0.3">
      <c r="A37" s="134" t="s">
        <v>70</v>
      </c>
      <c r="B37" s="117" t="s">
        <v>17</v>
      </c>
      <c r="C37" s="117"/>
      <c r="D37" s="116"/>
      <c r="E37" s="133"/>
      <c r="F37" s="124"/>
    </row>
    <row r="38" spans="1:6" ht="21" x14ac:dyDescent="0.3">
      <c r="A38" s="134" t="s">
        <v>72</v>
      </c>
      <c r="B38" s="117" t="s">
        <v>17</v>
      </c>
      <c r="C38" s="117"/>
      <c r="D38" s="116"/>
      <c r="E38" s="133"/>
      <c r="F38" s="124"/>
    </row>
    <row r="39" spans="1:6" ht="21" x14ac:dyDescent="0.3">
      <c r="A39" s="136" t="s">
        <v>198</v>
      </c>
      <c r="B39" s="113" t="s">
        <v>134</v>
      </c>
      <c r="C39" s="113"/>
      <c r="D39" s="116"/>
      <c r="E39" s="133"/>
      <c r="F39" s="124"/>
    </row>
    <row r="40" spans="1:6" ht="21" customHeight="1" x14ac:dyDescent="0.3">
      <c r="A40" s="134" t="s">
        <v>59</v>
      </c>
      <c r="B40" s="117" t="s">
        <v>133</v>
      </c>
      <c r="C40" s="117"/>
      <c r="D40" s="116" t="s">
        <v>120</v>
      </c>
      <c r="E40" s="133"/>
      <c r="F40" s="124"/>
    </row>
    <row r="41" spans="1:6" ht="21" x14ac:dyDescent="0.3">
      <c r="A41" s="134" t="s">
        <v>190</v>
      </c>
      <c r="B41" s="117" t="s">
        <v>17</v>
      </c>
      <c r="C41" s="117"/>
      <c r="D41" s="115" t="s">
        <v>120</v>
      </c>
      <c r="E41" s="133"/>
      <c r="F41" s="124"/>
    </row>
    <row r="42" spans="1:6" ht="21" x14ac:dyDescent="0.3">
      <c r="A42" s="134" t="s">
        <v>67</v>
      </c>
      <c r="B42" s="117" t="s">
        <v>133</v>
      </c>
      <c r="C42" s="117"/>
      <c r="D42" s="115"/>
      <c r="E42" s="133"/>
      <c r="F42" s="124"/>
    </row>
    <row r="43" spans="1:6" ht="21" x14ac:dyDescent="0.3">
      <c r="A43" s="135" t="s">
        <v>186</v>
      </c>
      <c r="B43" s="113" t="s">
        <v>134</v>
      </c>
      <c r="C43" s="113"/>
      <c r="D43" s="115"/>
      <c r="E43" s="133"/>
      <c r="F43" s="124"/>
    </row>
    <row r="44" spans="1:6" ht="21" x14ac:dyDescent="0.3">
      <c r="A44" s="131" t="s">
        <v>20</v>
      </c>
      <c r="B44" s="115" t="s">
        <v>17</v>
      </c>
      <c r="C44" s="115"/>
      <c r="D44" s="115"/>
      <c r="E44" s="133"/>
      <c r="F44" s="124"/>
    </row>
    <row r="45" spans="1:6" ht="21" x14ac:dyDescent="0.3">
      <c r="A45" s="131" t="s">
        <v>103</v>
      </c>
      <c r="B45" s="117" t="s">
        <v>17</v>
      </c>
      <c r="C45" s="117"/>
      <c r="D45" s="116" t="s">
        <v>107</v>
      </c>
      <c r="E45" s="133"/>
      <c r="F45" s="124"/>
    </row>
    <row r="46" spans="1:6" ht="21" x14ac:dyDescent="0.3">
      <c r="A46" s="131" t="s">
        <v>46</v>
      </c>
      <c r="B46" s="117" t="s">
        <v>17</v>
      </c>
      <c r="C46" s="117"/>
      <c r="D46" s="118" t="s">
        <v>120</v>
      </c>
      <c r="E46" s="133"/>
      <c r="F46" s="124"/>
    </row>
    <row r="47" spans="1:6" ht="21" x14ac:dyDescent="0.3">
      <c r="A47" s="131" t="s">
        <v>109</v>
      </c>
      <c r="B47" s="117" t="s">
        <v>17</v>
      </c>
      <c r="C47" s="117"/>
      <c r="D47" s="118"/>
      <c r="E47" s="133"/>
      <c r="F47" s="124"/>
    </row>
    <row r="48" spans="1:6" ht="21" x14ac:dyDescent="0.3">
      <c r="A48" s="131" t="s">
        <v>47</v>
      </c>
      <c r="B48" s="115" t="s">
        <v>17</v>
      </c>
      <c r="C48" s="115"/>
      <c r="D48" s="119" t="s">
        <v>120</v>
      </c>
      <c r="E48" s="133"/>
      <c r="F48" s="124"/>
    </row>
    <row r="49" spans="1:6" ht="21" x14ac:dyDescent="0.3">
      <c r="A49" s="131" t="s">
        <v>111</v>
      </c>
      <c r="B49" s="115" t="s">
        <v>17</v>
      </c>
      <c r="C49" s="115"/>
      <c r="D49" s="119"/>
      <c r="E49" s="133"/>
      <c r="F49" s="124"/>
    </row>
    <row r="50" spans="1:6" ht="21" x14ac:dyDescent="0.3">
      <c r="A50" s="131" t="s">
        <v>100</v>
      </c>
      <c r="B50" s="115" t="s">
        <v>17</v>
      </c>
      <c r="C50" s="115"/>
      <c r="D50" s="119"/>
      <c r="E50" s="133"/>
      <c r="F50" s="124"/>
    </row>
    <row r="51" spans="1:6" ht="21" x14ac:dyDescent="0.3">
      <c r="A51" s="131" t="s">
        <v>160</v>
      </c>
      <c r="B51" s="115" t="s">
        <v>17</v>
      </c>
      <c r="C51" s="115"/>
      <c r="D51" s="119"/>
      <c r="E51" s="133"/>
      <c r="F51" s="124"/>
    </row>
    <row r="52" spans="1:6" ht="21" x14ac:dyDescent="0.3">
      <c r="A52" s="131" t="s">
        <v>159</v>
      </c>
      <c r="B52" s="115" t="s">
        <v>17</v>
      </c>
      <c r="C52" s="115"/>
      <c r="D52" s="116" t="s">
        <v>107</v>
      </c>
      <c r="E52" s="133"/>
      <c r="F52" s="124"/>
    </row>
    <row r="53" spans="1:6" ht="21" x14ac:dyDescent="0.3">
      <c r="A53" s="131" t="s">
        <v>183</v>
      </c>
      <c r="B53" s="115" t="s">
        <v>17</v>
      </c>
      <c r="C53" s="115"/>
      <c r="D53" s="116" t="s">
        <v>107</v>
      </c>
      <c r="E53" s="133"/>
      <c r="F53" s="124"/>
    </row>
    <row r="54" spans="1:6" ht="21" x14ac:dyDescent="0.3">
      <c r="A54" s="131" t="s">
        <v>31</v>
      </c>
      <c r="B54" s="115" t="s">
        <v>17</v>
      </c>
      <c r="C54" s="115"/>
      <c r="D54" s="119"/>
      <c r="E54" s="133"/>
      <c r="F54" s="124"/>
    </row>
    <row r="55" spans="1:6" ht="21" x14ac:dyDescent="0.3">
      <c r="A55" s="131" t="s">
        <v>22</v>
      </c>
      <c r="B55" s="115" t="s">
        <v>17</v>
      </c>
      <c r="C55" s="115"/>
      <c r="D55" s="119" t="s">
        <v>107</v>
      </c>
      <c r="E55" s="133"/>
      <c r="F55" s="124"/>
    </row>
    <row r="56" spans="1:6" ht="21" x14ac:dyDescent="0.3">
      <c r="A56" s="131" t="s">
        <v>184</v>
      </c>
      <c r="B56" s="115" t="s">
        <v>17</v>
      </c>
      <c r="C56" s="115"/>
      <c r="D56" s="119" t="s">
        <v>107</v>
      </c>
      <c r="E56" s="133"/>
      <c r="F56" s="124"/>
    </row>
    <row r="57" spans="1:6" ht="21" x14ac:dyDescent="0.3">
      <c r="A57" s="135" t="s">
        <v>185</v>
      </c>
      <c r="B57" s="113" t="s">
        <v>134</v>
      </c>
      <c r="C57" s="113"/>
      <c r="D57" s="116"/>
      <c r="E57" s="133"/>
      <c r="F57" s="124"/>
    </row>
    <row r="58" spans="1:6" ht="21" x14ac:dyDescent="0.3">
      <c r="A58" s="137" t="s">
        <v>161</v>
      </c>
      <c r="B58" s="115" t="s">
        <v>17</v>
      </c>
      <c r="C58" s="115"/>
      <c r="D58" s="115" t="s">
        <v>108</v>
      </c>
      <c r="E58" s="133"/>
      <c r="F58" s="124"/>
    </row>
    <row r="59" spans="1:6" ht="21" x14ac:dyDescent="0.3">
      <c r="A59" s="137" t="s">
        <v>163</v>
      </c>
      <c r="B59" s="115" t="s">
        <v>17</v>
      </c>
      <c r="C59" s="115"/>
      <c r="D59" s="116" t="s">
        <v>108</v>
      </c>
      <c r="E59" s="133"/>
      <c r="F59" s="124"/>
    </row>
    <row r="60" spans="1:6" ht="21" x14ac:dyDescent="0.3">
      <c r="A60" s="131" t="s">
        <v>89</v>
      </c>
      <c r="B60" s="115" t="s">
        <v>17</v>
      </c>
      <c r="C60" s="115"/>
      <c r="D60" s="116" t="s">
        <v>108</v>
      </c>
      <c r="E60" s="133"/>
      <c r="F60" s="124"/>
    </row>
    <row r="61" spans="1:6" ht="21" x14ac:dyDescent="0.3">
      <c r="A61" s="131" t="s">
        <v>117</v>
      </c>
      <c r="B61" s="115" t="s">
        <v>17</v>
      </c>
      <c r="C61" s="115"/>
      <c r="D61" s="116" t="s">
        <v>120</v>
      </c>
      <c r="E61" s="133"/>
      <c r="F61" s="124"/>
    </row>
    <row r="62" spans="1:6" ht="21" x14ac:dyDescent="0.3">
      <c r="A62" s="131" t="s">
        <v>182</v>
      </c>
      <c r="B62" s="115" t="s">
        <v>17</v>
      </c>
      <c r="C62" s="115"/>
      <c r="D62" s="116" t="s">
        <v>120</v>
      </c>
      <c r="E62" s="133"/>
      <c r="F62" s="124"/>
    </row>
    <row r="63" spans="1:6" ht="21" x14ac:dyDescent="0.3">
      <c r="A63" s="131" t="s">
        <v>19</v>
      </c>
      <c r="B63" s="115" t="s">
        <v>17</v>
      </c>
      <c r="C63" s="115"/>
      <c r="D63" s="116" t="s">
        <v>120</v>
      </c>
      <c r="E63" s="132"/>
      <c r="F63" s="124"/>
    </row>
    <row r="64" spans="1:6" ht="21" x14ac:dyDescent="0.3">
      <c r="A64" s="140" t="s">
        <v>38</v>
      </c>
      <c r="B64" s="141" t="s">
        <v>17</v>
      </c>
      <c r="C64" s="141"/>
      <c r="D64" s="142" t="s">
        <v>120</v>
      </c>
      <c r="E64" s="143"/>
      <c r="F64" s="144"/>
    </row>
    <row r="65" spans="1:6" ht="21.6" thickBot="1" x14ac:dyDescent="0.35">
      <c r="A65" s="145" t="s">
        <v>191</v>
      </c>
      <c r="B65" s="120" t="s">
        <v>17</v>
      </c>
      <c r="C65" s="120"/>
      <c r="D65" s="121"/>
      <c r="E65" s="138"/>
      <c r="F65" s="125"/>
    </row>
    <row r="67" spans="1:6" ht="21" customHeight="1" x14ac:dyDescent="0.3">
      <c r="A67" s="235" t="s">
        <v>181</v>
      </c>
      <c r="B67" s="235"/>
      <c r="C67" s="235"/>
      <c r="D67" s="235"/>
      <c r="E67" s="235"/>
    </row>
  </sheetData>
  <mergeCells count="6">
    <mergeCell ref="A1:F1"/>
    <mergeCell ref="A67:E67"/>
    <mergeCell ref="A5:E5"/>
    <mergeCell ref="A2:E2"/>
    <mergeCell ref="A3:E3"/>
    <mergeCell ref="A4:E4"/>
  </mergeCells>
  <pageMargins left="0.7" right="0.7" top="0.75" bottom="0.75" header="0.3" footer="0.3"/>
  <pageSetup scale="71" fitToHeight="0" orientation="portrait" r:id="rId1"/>
  <headerFooter>
    <oddFooter>Page &amp;P of &amp;N</oddFooter>
  </headerFooter>
  <rowBreaks count="1" manualBreakCount="1">
    <brk id="42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U173"/>
  <sheetViews>
    <sheetView zoomScale="80" zoomScaleNormal="80" workbookViewId="0">
      <pane xSplit="3" ySplit="7" topLeftCell="D29" activePane="bottomRight" state="frozen"/>
      <selection pane="topRight" activeCell="D1" sqref="D1"/>
      <selection pane="bottomLeft" activeCell="A9" sqref="A9"/>
      <selection pane="bottomRight" activeCell="N30" sqref="N30:P30"/>
    </sheetView>
  </sheetViews>
  <sheetFormatPr defaultColWidth="9.109375" defaultRowHeight="21" x14ac:dyDescent="0.3"/>
  <cols>
    <col min="1" max="1" width="16" style="139" customWidth="1"/>
    <col min="2" max="2" width="55.6640625" style="19" customWidth="1"/>
    <col min="3" max="3" width="14.44140625" style="2" hidden="1" customWidth="1"/>
    <col min="4" max="4" width="16" style="2" bestFit="1" customWidth="1"/>
    <col min="5" max="5" width="14.88671875" style="2" customWidth="1"/>
    <col min="6" max="6" width="14.88671875" style="2" hidden="1" customWidth="1"/>
    <col min="7" max="7" width="14.88671875" style="162" hidden="1" customWidth="1"/>
    <col min="8" max="9" width="14.88671875" style="2" hidden="1" customWidth="1"/>
    <col min="10" max="10" width="18.6640625" style="5" customWidth="1"/>
    <col min="11" max="11" width="18.6640625" style="42" customWidth="1"/>
    <col min="12" max="12" width="18.6640625" style="42" hidden="1" customWidth="1"/>
    <col min="13" max="13" width="18.6640625" style="5" customWidth="1"/>
    <col min="14" max="14" width="20.6640625" style="2" customWidth="1"/>
    <col min="15" max="15" width="20.6640625" style="34" customWidth="1"/>
    <col min="16" max="16" width="20.6640625" style="3" customWidth="1"/>
    <col min="17" max="17" width="20.6640625" style="41" customWidth="1"/>
    <col min="18" max="20" width="20.6640625" style="34" customWidth="1"/>
    <col min="21" max="21" width="40.5546875" style="1" hidden="1" customWidth="1"/>
    <col min="22" max="22" width="9.109375" style="4"/>
    <col min="23" max="24" width="9.109375" style="4" customWidth="1"/>
    <col min="25" max="26" width="9.109375" style="4"/>
    <col min="27" max="27" width="9.109375" style="4" customWidth="1"/>
    <col min="28" max="28" width="9.109375" style="4"/>
    <col min="29" max="38" width="9.109375" style="4" customWidth="1"/>
    <col min="39" max="40" width="9.109375" style="4"/>
    <col min="41" max="43" width="9.109375" style="4" customWidth="1"/>
    <col min="44" max="16384" width="9.109375" style="4"/>
  </cols>
  <sheetData>
    <row r="1" spans="1:21" x14ac:dyDescent="0.3">
      <c r="A1" s="229"/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</row>
    <row r="2" spans="1:21" ht="27" customHeight="1" x14ac:dyDescent="0.4">
      <c r="A2" s="232" t="s">
        <v>106</v>
      </c>
      <c r="B2" s="232"/>
      <c r="C2" s="232"/>
      <c r="D2" s="232"/>
      <c r="E2" s="232"/>
      <c r="F2" s="232"/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2"/>
      <c r="R2" s="232"/>
      <c r="S2" s="232"/>
      <c r="T2" s="232"/>
      <c r="U2" s="232"/>
    </row>
    <row r="3" spans="1:21" ht="27" customHeight="1" x14ac:dyDescent="0.4">
      <c r="A3" s="232" t="s">
        <v>199</v>
      </c>
      <c r="B3" s="232"/>
      <c r="C3" s="232"/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2"/>
      <c r="U3" s="232"/>
    </row>
    <row r="4" spans="1:21" ht="27" customHeight="1" x14ac:dyDescent="0.3">
      <c r="A4" s="233">
        <f ca="1">TODAY()</f>
        <v>42599</v>
      </c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233"/>
      <c r="Q4" s="233"/>
      <c r="R4" s="233"/>
      <c r="S4" s="233"/>
      <c r="T4" s="233"/>
      <c r="U4" s="233"/>
    </row>
    <row r="5" spans="1:21" ht="21.75" customHeight="1" x14ac:dyDescent="0.4">
      <c r="A5" s="234"/>
      <c r="B5" s="234"/>
      <c r="C5" s="234"/>
      <c r="D5" s="234"/>
      <c r="E5" s="234"/>
      <c r="F5" s="234"/>
      <c r="G5" s="234"/>
      <c r="H5" s="234"/>
      <c r="I5" s="234"/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</row>
    <row r="6" spans="1:21" ht="21.75" customHeight="1" thickBot="1" x14ac:dyDescent="0.35">
      <c r="A6" s="230"/>
      <c r="B6" s="230"/>
      <c r="C6" s="230"/>
      <c r="D6" s="230"/>
      <c r="E6" s="230"/>
      <c r="F6" s="230"/>
      <c r="G6" s="230"/>
      <c r="H6" s="230"/>
      <c r="I6" s="230"/>
      <c r="J6" s="230"/>
      <c r="K6" s="230"/>
      <c r="L6" s="230"/>
      <c r="M6" s="230"/>
      <c r="N6" s="230"/>
      <c r="O6" s="230"/>
      <c r="P6" s="230"/>
      <c r="Q6" s="230"/>
      <c r="R6" s="230"/>
      <c r="S6" s="230"/>
      <c r="T6" s="230"/>
      <c r="U6" s="230"/>
    </row>
    <row r="7" spans="1:21" s="7" customFormat="1" ht="90" x14ac:dyDescent="0.35">
      <c r="A7" s="147" t="str">
        <f>CONCATENATE(A154,"  Active Projects")</f>
        <v>50  Active Projects</v>
      </c>
      <c r="B7" s="59" t="s">
        <v>14</v>
      </c>
      <c r="C7" s="59" t="s">
        <v>39</v>
      </c>
      <c r="D7" s="59" t="str">
        <f>CONCATENATE(D154+D155,"  Total
Participants")</f>
        <v>87  Total
Participants</v>
      </c>
      <c r="E7" s="59" t="s">
        <v>15</v>
      </c>
      <c r="F7" s="59" t="s">
        <v>203</v>
      </c>
      <c r="G7" s="148"/>
      <c r="H7" s="59" t="s">
        <v>204</v>
      </c>
      <c r="I7" s="59"/>
      <c r="J7" s="59" t="str">
        <f>CONCATENATE(J157,"%  
Licensed Beds Participating")</f>
        <v>67%  
Licensed Beds Participating</v>
      </c>
      <c r="K7" s="148" t="str">
        <f>CONCATENATE(K157,"%  
Discharges Participating")</f>
        <v>70%  
Discharges Participating</v>
      </c>
      <c r="L7" s="148" t="str">
        <f>CONCATENATE(L157,"%  
ED Visits Participating")</f>
        <v>%  
ED Visits Participating</v>
      </c>
      <c r="M7" s="59" t="str">
        <f>CONCATENATE(M154+M155+M156,"         Providers Participating")</f>
        <v>2494         Providers Participating</v>
      </c>
      <c r="N7" s="59" t="s">
        <v>201</v>
      </c>
      <c r="O7" s="59" t="s">
        <v>200</v>
      </c>
      <c r="P7" s="59" t="s">
        <v>202</v>
      </c>
      <c r="Q7" s="149" t="str">
        <f>CONCATENATE(Q154,"  
Operational
Portal
Installations")</f>
        <v>0  
Operational
Portal
Installations</v>
      </c>
      <c r="R7" s="149" t="str">
        <f>CONCATENATE(R154,"  
Operational
Alerts 
Installations")</f>
        <v>0  
Operational
Alerts 
Installations</v>
      </c>
      <c r="S7" s="149" t="str">
        <f>CONCATENATE(S154,"  
Operational
Direct Email
Installations")</f>
        <v>0  
Operational
Direct Email
Installations</v>
      </c>
      <c r="T7" s="149" t="str">
        <f>CONCATENATE(T154,"  
Operational
Crisis Portal
Installations")</f>
        <v>0  
Operational
Crisis Portal
Installations</v>
      </c>
      <c r="U7" s="60" t="s">
        <v>34</v>
      </c>
    </row>
    <row r="8" spans="1:21" s="86" customFormat="1" x14ac:dyDescent="0.4">
      <c r="A8" s="106"/>
      <c r="B8" s="107" t="s">
        <v>130</v>
      </c>
      <c r="C8" s="85"/>
      <c r="D8" s="146" t="s">
        <v>134</v>
      </c>
      <c r="E8" s="85"/>
      <c r="F8" s="150"/>
      <c r="G8" s="108"/>
      <c r="H8" s="150"/>
      <c r="I8" s="150"/>
      <c r="J8" s="85"/>
      <c r="K8" s="108"/>
      <c r="L8" s="108"/>
      <c r="M8" s="152"/>
      <c r="N8" s="85"/>
      <c r="O8" s="85"/>
      <c r="P8" s="85"/>
      <c r="Q8" s="85"/>
      <c r="R8" s="85"/>
      <c r="S8" s="85"/>
      <c r="T8" s="85"/>
      <c r="U8" s="109"/>
    </row>
    <row r="9" spans="1:21" x14ac:dyDescent="0.35">
      <c r="A9" s="61"/>
      <c r="B9" s="70" t="s">
        <v>114</v>
      </c>
      <c r="C9" s="68">
        <v>1</v>
      </c>
      <c r="D9" s="66"/>
      <c r="E9" s="63" t="s">
        <v>16</v>
      </c>
      <c r="F9" s="63"/>
      <c r="G9" s="154"/>
      <c r="H9" s="63"/>
      <c r="I9" s="63"/>
      <c r="J9" s="8">
        <v>1029</v>
      </c>
      <c r="K9" s="43">
        <v>50045</v>
      </c>
      <c r="L9" s="43">
        <v>230772</v>
      </c>
      <c r="M9" s="8"/>
      <c r="N9" s="85"/>
      <c r="O9" s="85"/>
      <c r="P9" s="85"/>
      <c r="Q9" s="85"/>
      <c r="R9" s="85"/>
      <c r="S9" s="85"/>
      <c r="T9" s="85"/>
      <c r="U9" s="67"/>
    </row>
    <row r="10" spans="1:21" x14ac:dyDescent="0.35">
      <c r="A10" s="61"/>
      <c r="B10" s="62" t="s">
        <v>54</v>
      </c>
      <c r="C10" s="68">
        <v>1</v>
      </c>
      <c r="D10" s="66"/>
      <c r="E10" s="63" t="s">
        <v>16</v>
      </c>
      <c r="F10" s="63"/>
      <c r="G10" s="154"/>
      <c r="H10" s="63"/>
      <c r="I10" s="63"/>
      <c r="J10" s="8">
        <v>24</v>
      </c>
      <c r="K10" s="43">
        <v>696</v>
      </c>
      <c r="L10" s="43"/>
      <c r="M10" s="8"/>
      <c r="N10" s="85"/>
      <c r="O10" s="85"/>
      <c r="P10" s="85"/>
      <c r="Q10" s="85"/>
      <c r="R10" s="85"/>
      <c r="S10" s="85"/>
      <c r="T10" s="85"/>
      <c r="U10" s="67"/>
    </row>
    <row r="11" spans="1:21" x14ac:dyDescent="0.35">
      <c r="A11" s="61"/>
      <c r="B11" s="62" t="s">
        <v>55</v>
      </c>
      <c r="C11" s="68">
        <v>1</v>
      </c>
      <c r="D11" s="66"/>
      <c r="E11" s="63" t="s">
        <v>16</v>
      </c>
      <c r="F11" s="63"/>
      <c r="G11" s="154"/>
      <c r="H11" s="63"/>
      <c r="I11" s="63"/>
      <c r="J11" s="8">
        <v>23</v>
      </c>
      <c r="K11" s="43">
        <v>943</v>
      </c>
      <c r="L11" s="43"/>
      <c r="M11" s="8"/>
      <c r="N11" s="85"/>
      <c r="O11" s="85"/>
      <c r="P11" s="85"/>
      <c r="Q11" s="85"/>
      <c r="R11" s="85"/>
      <c r="S11" s="85"/>
      <c r="T11" s="85"/>
      <c r="U11" s="67"/>
    </row>
    <row r="12" spans="1:21" x14ac:dyDescent="0.35">
      <c r="A12" s="61"/>
      <c r="B12" s="62" t="s">
        <v>0</v>
      </c>
      <c r="C12" s="63">
        <v>1</v>
      </c>
      <c r="D12" s="66" t="s">
        <v>17</v>
      </c>
      <c r="E12" s="63" t="s">
        <v>16</v>
      </c>
      <c r="F12" s="63" t="s">
        <v>17</v>
      </c>
      <c r="G12" s="154">
        <v>150000</v>
      </c>
      <c r="H12" s="63"/>
      <c r="I12" s="63"/>
      <c r="J12" s="64">
        <v>4635</v>
      </c>
      <c r="K12" s="65">
        <v>251368</v>
      </c>
      <c r="L12" s="65">
        <v>689500</v>
      </c>
      <c r="M12" s="64"/>
      <c r="N12" s="151">
        <v>20120118</v>
      </c>
      <c r="O12" s="85"/>
      <c r="P12" s="85"/>
      <c r="Q12" s="85"/>
      <c r="R12" s="85"/>
      <c r="S12" s="85"/>
      <c r="T12" s="85"/>
      <c r="U12" s="67"/>
    </row>
    <row r="13" spans="1:21" x14ac:dyDescent="0.35">
      <c r="A13" s="61"/>
      <c r="B13" s="62" t="s">
        <v>94</v>
      </c>
      <c r="C13" s="68">
        <v>1</v>
      </c>
      <c r="D13" s="66"/>
      <c r="E13" s="63" t="s">
        <v>16</v>
      </c>
      <c r="F13" s="63"/>
      <c r="G13" s="154"/>
      <c r="H13" s="63"/>
      <c r="I13" s="63"/>
      <c r="J13" s="8">
        <v>24</v>
      </c>
      <c r="K13" s="43">
        <v>350</v>
      </c>
      <c r="L13" s="43"/>
      <c r="M13" s="8"/>
      <c r="N13" s="85"/>
      <c r="O13" s="85"/>
      <c r="P13" s="85"/>
      <c r="Q13" s="85"/>
      <c r="R13" s="85"/>
      <c r="S13" s="85"/>
      <c r="T13" s="85"/>
      <c r="U13" s="67"/>
    </row>
    <row r="14" spans="1:21" ht="21" customHeight="1" x14ac:dyDescent="0.4">
      <c r="A14" s="61"/>
      <c r="B14" s="69" t="s">
        <v>102</v>
      </c>
      <c r="C14" s="63">
        <v>1</v>
      </c>
      <c r="D14" s="66"/>
      <c r="E14" s="63" t="s">
        <v>16</v>
      </c>
      <c r="F14" s="63"/>
      <c r="G14" s="154"/>
      <c r="H14" s="63"/>
      <c r="I14" s="63"/>
      <c r="J14" s="8">
        <v>88</v>
      </c>
      <c r="K14" s="43">
        <v>5719</v>
      </c>
      <c r="L14" s="43"/>
      <c r="M14" s="8"/>
      <c r="N14" s="85"/>
      <c r="O14" s="85"/>
      <c r="P14" s="85"/>
      <c r="Q14" s="85"/>
      <c r="R14" s="85"/>
      <c r="S14" s="85"/>
      <c r="T14" s="85"/>
      <c r="U14" s="67"/>
    </row>
    <row r="15" spans="1:21" ht="21" customHeight="1" x14ac:dyDescent="0.35">
      <c r="A15" s="61"/>
      <c r="B15" s="62" t="s">
        <v>1</v>
      </c>
      <c r="C15" s="63">
        <v>1</v>
      </c>
      <c r="D15" s="8" t="s">
        <v>17</v>
      </c>
      <c r="E15" s="63" t="s">
        <v>16</v>
      </c>
      <c r="F15" s="63" t="s">
        <v>17</v>
      </c>
      <c r="G15" s="154"/>
      <c r="H15" s="63"/>
      <c r="I15" s="63"/>
      <c r="J15" s="64">
        <v>911</v>
      </c>
      <c r="K15" s="65">
        <v>31539</v>
      </c>
      <c r="L15" s="65">
        <v>95843</v>
      </c>
      <c r="M15" s="64"/>
      <c r="N15" s="151">
        <v>20111101</v>
      </c>
      <c r="O15" s="85"/>
      <c r="P15" s="85"/>
      <c r="Q15" s="85"/>
      <c r="R15" s="85"/>
      <c r="S15" s="85"/>
      <c r="T15" s="85"/>
      <c r="U15" s="67"/>
    </row>
    <row r="16" spans="1:21" x14ac:dyDescent="0.35">
      <c r="A16" s="61"/>
      <c r="B16" s="70" t="s">
        <v>51</v>
      </c>
      <c r="C16" s="63">
        <v>1</v>
      </c>
      <c r="D16" s="66"/>
      <c r="E16" s="63" t="s">
        <v>16</v>
      </c>
      <c r="F16" s="63"/>
      <c r="G16" s="154"/>
      <c r="H16" s="63"/>
      <c r="I16" s="63"/>
      <c r="J16" s="8">
        <v>580</v>
      </c>
      <c r="K16" s="43">
        <v>30377</v>
      </c>
      <c r="L16" s="43"/>
      <c r="M16" s="8"/>
      <c r="N16" s="85"/>
      <c r="O16" s="85"/>
      <c r="P16" s="85"/>
      <c r="Q16" s="85"/>
      <c r="R16" s="85"/>
      <c r="S16" s="85"/>
      <c r="T16" s="85"/>
      <c r="U16" s="67"/>
    </row>
    <row r="17" spans="1:21" x14ac:dyDescent="0.35">
      <c r="A17" s="61"/>
      <c r="B17" s="62" t="s">
        <v>30</v>
      </c>
      <c r="C17" s="63">
        <v>1</v>
      </c>
      <c r="D17" s="66" t="s">
        <v>17</v>
      </c>
      <c r="E17" s="63" t="s">
        <v>16</v>
      </c>
      <c r="F17" s="63" t="s">
        <v>17</v>
      </c>
      <c r="G17" s="154"/>
      <c r="H17" s="63"/>
      <c r="I17" s="63"/>
      <c r="J17" s="8">
        <v>1089</v>
      </c>
      <c r="K17" s="43">
        <v>74145</v>
      </c>
      <c r="L17" s="43"/>
      <c r="M17" s="8"/>
      <c r="N17" s="85"/>
      <c r="O17" s="85"/>
      <c r="P17" s="85"/>
      <c r="Q17" s="85"/>
      <c r="R17" s="85"/>
      <c r="S17" s="85"/>
      <c r="T17" s="85"/>
      <c r="U17" s="67"/>
    </row>
    <row r="18" spans="1:21" x14ac:dyDescent="0.35">
      <c r="A18" s="61"/>
      <c r="B18" s="70" t="s">
        <v>76</v>
      </c>
      <c r="C18" s="68">
        <v>1</v>
      </c>
      <c r="D18" s="66"/>
      <c r="E18" s="63" t="s">
        <v>16</v>
      </c>
      <c r="F18" s="63"/>
      <c r="G18" s="154"/>
      <c r="H18" s="63"/>
      <c r="I18" s="63"/>
      <c r="J18" s="8">
        <v>15</v>
      </c>
      <c r="K18" s="43">
        <v>300</v>
      </c>
      <c r="L18" s="43"/>
      <c r="M18" s="8"/>
      <c r="N18" s="85"/>
      <c r="O18" s="85"/>
      <c r="P18" s="85"/>
      <c r="Q18" s="85"/>
      <c r="R18" s="85"/>
      <c r="S18" s="85"/>
      <c r="T18" s="85"/>
      <c r="U18" s="67"/>
    </row>
    <row r="19" spans="1:21" x14ac:dyDescent="0.35">
      <c r="A19" s="61"/>
      <c r="B19" s="70" t="s">
        <v>77</v>
      </c>
      <c r="C19" s="68">
        <v>1</v>
      </c>
      <c r="D19" s="66"/>
      <c r="E19" s="63" t="s">
        <v>16</v>
      </c>
      <c r="F19" s="63"/>
      <c r="G19" s="154"/>
      <c r="H19" s="63"/>
      <c r="I19" s="63"/>
      <c r="J19" s="8">
        <v>19</v>
      </c>
      <c r="K19" s="43">
        <v>482</v>
      </c>
      <c r="L19" s="43"/>
      <c r="M19" s="8"/>
      <c r="N19" s="85"/>
      <c r="O19" s="85"/>
      <c r="P19" s="85"/>
      <c r="Q19" s="85"/>
      <c r="R19" s="85"/>
      <c r="S19" s="85"/>
      <c r="T19" s="85"/>
      <c r="U19" s="67"/>
    </row>
    <row r="20" spans="1:21" x14ac:dyDescent="0.35">
      <c r="A20" s="61"/>
      <c r="B20" s="62" t="s">
        <v>116</v>
      </c>
      <c r="C20" s="68">
        <v>1</v>
      </c>
      <c r="D20" s="66"/>
      <c r="E20" s="63" t="s">
        <v>16</v>
      </c>
      <c r="F20" s="63"/>
      <c r="G20" s="154"/>
      <c r="H20" s="63"/>
      <c r="I20" s="63"/>
      <c r="J20" s="8">
        <v>39</v>
      </c>
      <c r="K20" s="43">
        <v>666</v>
      </c>
      <c r="L20" s="43"/>
      <c r="M20" s="8"/>
      <c r="N20" s="85"/>
      <c r="O20" s="85"/>
      <c r="P20" s="85"/>
      <c r="Q20" s="85"/>
      <c r="R20" s="85"/>
      <c r="S20" s="85"/>
      <c r="T20" s="85"/>
      <c r="U20" s="67"/>
    </row>
    <row r="21" spans="1:21" x14ac:dyDescent="0.35">
      <c r="A21" s="61"/>
      <c r="B21" s="62" t="s">
        <v>60</v>
      </c>
      <c r="C21" s="68">
        <v>1</v>
      </c>
      <c r="D21" s="66"/>
      <c r="E21" s="63" t="s">
        <v>16</v>
      </c>
      <c r="F21" s="63"/>
      <c r="G21" s="154"/>
      <c r="H21" s="63"/>
      <c r="I21" s="63"/>
      <c r="J21" s="8">
        <v>162</v>
      </c>
      <c r="K21" s="43">
        <v>7411</v>
      </c>
      <c r="L21" s="43"/>
      <c r="M21" s="8"/>
      <c r="N21" s="85"/>
      <c r="O21" s="85"/>
      <c r="P21" s="85"/>
      <c r="Q21" s="85"/>
      <c r="R21" s="85"/>
      <c r="S21" s="85"/>
      <c r="T21" s="85"/>
      <c r="U21" s="67"/>
    </row>
    <row r="22" spans="1:21" ht="21" customHeight="1" x14ac:dyDescent="0.35">
      <c r="A22" s="61"/>
      <c r="B22" s="62" t="s">
        <v>95</v>
      </c>
      <c r="C22" s="68">
        <v>1</v>
      </c>
      <c r="D22" s="66"/>
      <c r="E22" s="63" t="s">
        <v>16</v>
      </c>
      <c r="F22" s="63"/>
      <c r="G22" s="154"/>
      <c r="H22" s="63"/>
      <c r="I22" s="63"/>
      <c r="J22" s="8">
        <v>1354</v>
      </c>
      <c r="K22" s="43">
        <v>73155</v>
      </c>
      <c r="L22" s="43"/>
      <c r="M22" s="8"/>
      <c r="N22" s="85"/>
      <c r="O22" s="85"/>
      <c r="P22" s="85"/>
      <c r="Q22" s="85"/>
      <c r="R22" s="85"/>
      <c r="S22" s="85"/>
      <c r="T22" s="85"/>
      <c r="U22" s="67"/>
    </row>
    <row r="23" spans="1:21" x14ac:dyDescent="0.35">
      <c r="A23" s="61"/>
      <c r="B23" s="70" t="s">
        <v>118</v>
      </c>
      <c r="C23" s="68">
        <v>1</v>
      </c>
      <c r="D23" s="66"/>
      <c r="E23" s="63" t="s">
        <v>16</v>
      </c>
      <c r="F23" s="63"/>
      <c r="G23" s="154"/>
      <c r="H23" s="63"/>
      <c r="I23" s="63"/>
      <c r="J23" s="8">
        <v>491</v>
      </c>
      <c r="K23" s="43">
        <v>17721</v>
      </c>
      <c r="L23" s="43"/>
      <c r="M23" s="8"/>
      <c r="N23" s="85"/>
      <c r="O23" s="85"/>
      <c r="P23" s="85"/>
      <c r="Q23" s="85"/>
      <c r="R23" s="85"/>
      <c r="S23" s="85"/>
      <c r="T23" s="85"/>
      <c r="U23" s="67"/>
    </row>
    <row r="24" spans="1:21" x14ac:dyDescent="0.35">
      <c r="A24" s="61"/>
      <c r="B24" s="62" t="s">
        <v>74</v>
      </c>
      <c r="C24" s="68">
        <v>1</v>
      </c>
      <c r="D24" s="66"/>
      <c r="E24" s="63" t="s">
        <v>16</v>
      </c>
      <c r="F24" s="63"/>
      <c r="G24" s="154"/>
      <c r="H24" s="63"/>
      <c r="I24" s="63"/>
      <c r="J24" s="8">
        <v>330</v>
      </c>
      <c r="K24" s="43" t="s">
        <v>75</v>
      </c>
      <c r="L24" s="43"/>
      <c r="M24" s="8"/>
      <c r="N24" s="85"/>
      <c r="O24" s="85"/>
      <c r="P24" s="85"/>
      <c r="Q24" s="85"/>
      <c r="R24" s="85"/>
      <c r="S24" s="85"/>
      <c r="T24" s="85"/>
      <c r="U24" s="67"/>
    </row>
    <row r="25" spans="1:21" x14ac:dyDescent="0.35">
      <c r="A25" s="61" t="s">
        <v>17</v>
      </c>
      <c r="B25" s="62" t="s">
        <v>50</v>
      </c>
      <c r="C25" s="63">
        <v>1</v>
      </c>
      <c r="D25" s="66" t="s">
        <v>17</v>
      </c>
      <c r="E25" s="63" t="s">
        <v>16</v>
      </c>
      <c r="F25" s="63"/>
      <c r="G25" s="154"/>
      <c r="H25" s="63"/>
      <c r="I25" s="63"/>
      <c r="J25" s="8">
        <v>235</v>
      </c>
      <c r="K25" s="43">
        <v>9594</v>
      </c>
      <c r="L25" s="43"/>
      <c r="M25" s="8"/>
      <c r="N25" s="85"/>
      <c r="O25" s="85"/>
      <c r="P25" s="85"/>
      <c r="Q25" s="85"/>
      <c r="R25" s="85"/>
      <c r="S25" s="85"/>
      <c r="T25" s="85"/>
      <c r="U25" s="67"/>
    </row>
    <row r="26" spans="1:21" x14ac:dyDescent="0.35">
      <c r="A26" s="61" t="s">
        <v>17</v>
      </c>
      <c r="B26" s="62" t="s">
        <v>41</v>
      </c>
      <c r="C26" s="63">
        <v>1</v>
      </c>
      <c r="D26" s="8" t="s">
        <v>17</v>
      </c>
      <c r="E26" s="63" t="s">
        <v>16</v>
      </c>
      <c r="F26" s="63"/>
      <c r="G26" s="154"/>
      <c r="H26" s="63"/>
      <c r="I26" s="63"/>
      <c r="J26" s="64">
        <v>515</v>
      </c>
      <c r="K26" s="65">
        <v>19425</v>
      </c>
      <c r="L26" s="65"/>
      <c r="M26" s="64"/>
      <c r="N26" s="85"/>
      <c r="O26" s="85"/>
      <c r="P26" s="85"/>
      <c r="Q26" s="85"/>
      <c r="R26" s="85"/>
      <c r="S26" s="85"/>
      <c r="T26" s="85"/>
      <c r="U26" s="67"/>
    </row>
    <row r="27" spans="1:21" x14ac:dyDescent="0.35">
      <c r="A27" s="61"/>
      <c r="B27" s="62" t="s">
        <v>62</v>
      </c>
      <c r="C27" s="68">
        <v>1</v>
      </c>
      <c r="D27" s="66"/>
      <c r="E27" s="63" t="s">
        <v>16</v>
      </c>
      <c r="F27" s="63"/>
      <c r="G27" s="154"/>
      <c r="H27" s="63"/>
      <c r="I27" s="63"/>
      <c r="J27" s="8">
        <v>268</v>
      </c>
      <c r="K27" s="43">
        <v>13298</v>
      </c>
      <c r="L27" s="43"/>
      <c r="M27" s="8"/>
      <c r="N27" s="85"/>
      <c r="O27" s="85"/>
      <c r="P27" s="85"/>
      <c r="Q27" s="85"/>
      <c r="R27" s="85"/>
      <c r="S27" s="85"/>
      <c r="T27" s="85"/>
      <c r="U27" s="67"/>
    </row>
    <row r="28" spans="1:21" x14ac:dyDescent="0.35">
      <c r="A28" s="61" t="s">
        <v>17</v>
      </c>
      <c r="B28" s="70" t="s">
        <v>86</v>
      </c>
      <c r="C28" s="63">
        <v>1</v>
      </c>
      <c r="D28" s="66" t="s">
        <v>17</v>
      </c>
      <c r="E28" s="63" t="s">
        <v>16</v>
      </c>
      <c r="F28" s="63"/>
      <c r="G28" s="154"/>
      <c r="H28" s="63"/>
      <c r="I28" s="63"/>
      <c r="J28" s="8">
        <v>49</v>
      </c>
      <c r="K28" s="43">
        <v>2411</v>
      </c>
      <c r="L28" s="43"/>
      <c r="M28" s="8"/>
      <c r="N28" s="85"/>
      <c r="O28" s="85"/>
      <c r="P28" s="85"/>
      <c r="Q28" s="85"/>
      <c r="R28" s="85"/>
      <c r="S28" s="85"/>
      <c r="T28" s="85"/>
      <c r="U28" s="67"/>
    </row>
    <row r="29" spans="1:21" x14ac:dyDescent="0.35">
      <c r="A29" s="61" t="s">
        <v>17</v>
      </c>
      <c r="B29" s="62" t="s">
        <v>36</v>
      </c>
      <c r="C29" s="63">
        <v>1</v>
      </c>
      <c r="D29" s="8" t="s">
        <v>17</v>
      </c>
      <c r="E29" s="63" t="s">
        <v>16</v>
      </c>
      <c r="F29" s="63"/>
      <c r="G29" s="154"/>
      <c r="H29" s="63"/>
      <c r="I29" s="63"/>
      <c r="J29" s="64">
        <v>377</v>
      </c>
      <c r="K29" s="65">
        <v>20572</v>
      </c>
      <c r="L29" s="65"/>
      <c r="M29" s="64"/>
      <c r="N29" s="85"/>
      <c r="O29" s="85"/>
      <c r="P29" s="85"/>
      <c r="Q29" s="85"/>
      <c r="R29" s="85"/>
      <c r="S29" s="85"/>
      <c r="T29" s="85"/>
      <c r="U29" s="67" t="s">
        <v>121</v>
      </c>
    </row>
    <row r="30" spans="1:21" x14ac:dyDescent="0.35">
      <c r="A30" s="61"/>
      <c r="B30" s="70" t="s">
        <v>88</v>
      </c>
      <c r="C30" s="68">
        <v>1</v>
      </c>
      <c r="D30" s="66"/>
      <c r="E30" s="63" t="s">
        <v>16</v>
      </c>
      <c r="F30" s="63"/>
      <c r="G30" s="154"/>
      <c r="H30" s="63"/>
      <c r="I30" s="63"/>
      <c r="J30" s="8">
        <v>64</v>
      </c>
      <c r="K30" s="43">
        <v>3363</v>
      </c>
      <c r="L30" s="43"/>
      <c r="M30" s="8"/>
      <c r="N30" s="85"/>
      <c r="O30" s="85"/>
      <c r="P30" s="85"/>
      <c r="Q30" s="85"/>
      <c r="R30" s="85"/>
      <c r="S30" s="85"/>
      <c r="T30" s="85"/>
      <c r="U30" s="67"/>
    </row>
    <row r="31" spans="1:21" ht="21" customHeight="1" x14ac:dyDescent="0.35">
      <c r="A31" s="61"/>
      <c r="B31" s="71" t="s">
        <v>6</v>
      </c>
      <c r="C31" s="63">
        <v>1</v>
      </c>
      <c r="D31" s="66" t="s">
        <v>17</v>
      </c>
      <c r="E31" s="63" t="s">
        <v>16</v>
      </c>
      <c r="F31" s="63" t="s">
        <v>17</v>
      </c>
      <c r="G31" s="154"/>
      <c r="H31" s="63"/>
      <c r="I31" s="63"/>
      <c r="J31" s="8">
        <v>385</v>
      </c>
      <c r="K31" s="43">
        <v>13300</v>
      </c>
      <c r="L31" s="43"/>
      <c r="M31" s="8"/>
      <c r="N31" s="85"/>
      <c r="O31" s="85"/>
      <c r="P31" s="85"/>
      <c r="Q31" s="85"/>
      <c r="R31" s="85"/>
      <c r="S31" s="85"/>
      <c r="T31" s="85"/>
      <c r="U31" s="67"/>
    </row>
    <row r="32" spans="1:21" x14ac:dyDescent="0.35">
      <c r="A32" s="61"/>
      <c r="B32" s="62" t="s">
        <v>68</v>
      </c>
      <c r="C32" s="68">
        <v>1</v>
      </c>
      <c r="D32" s="66" t="s">
        <v>17</v>
      </c>
      <c r="E32" s="63" t="s">
        <v>16</v>
      </c>
      <c r="F32" s="63"/>
      <c r="G32" s="154"/>
      <c r="H32" s="63"/>
      <c r="I32" s="63"/>
      <c r="J32" s="8">
        <v>89</v>
      </c>
      <c r="K32" s="43">
        <v>5039</v>
      </c>
      <c r="L32" s="43"/>
      <c r="M32" s="8"/>
      <c r="N32" s="85"/>
      <c r="O32" s="85"/>
      <c r="P32" s="85"/>
      <c r="Q32" s="85"/>
      <c r="R32" s="85"/>
      <c r="S32" s="85"/>
      <c r="T32" s="85"/>
      <c r="U32" s="67"/>
    </row>
    <row r="33" spans="1:21" x14ac:dyDescent="0.35">
      <c r="A33" s="61"/>
      <c r="B33" s="62" t="s">
        <v>87</v>
      </c>
      <c r="C33" s="68">
        <v>1</v>
      </c>
      <c r="D33" s="66"/>
      <c r="E33" s="63" t="s">
        <v>16</v>
      </c>
      <c r="F33" s="63"/>
      <c r="G33" s="154"/>
      <c r="H33" s="63"/>
      <c r="I33" s="63"/>
      <c r="J33" s="8">
        <v>33</v>
      </c>
      <c r="K33" s="43">
        <v>1259</v>
      </c>
      <c r="L33" s="43"/>
      <c r="M33" s="8"/>
      <c r="N33" s="85"/>
      <c r="O33" s="85"/>
      <c r="P33" s="85"/>
      <c r="Q33" s="85"/>
      <c r="R33" s="85"/>
      <c r="S33" s="85"/>
      <c r="T33" s="85"/>
      <c r="U33" s="67"/>
    </row>
    <row r="34" spans="1:21" x14ac:dyDescent="0.35">
      <c r="A34" s="61"/>
      <c r="B34" s="62" t="s">
        <v>7</v>
      </c>
      <c r="C34" s="63">
        <v>1</v>
      </c>
      <c r="D34" s="8"/>
      <c r="E34" s="63" t="s">
        <v>16</v>
      </c>
      <c r="F34" s="63"/>
      <c r="G34" s="154"/>
      <c r="H34" s="63"/>
      <c r="I34" s="63"/>
      <c r="J34" s="8">
        <v>73</v>
      </c>
      <c r="K34" s="43">
        <v>3641</v>
      </c>
      <c r="L34" s="43"/>
      <c r="M34" s="8"/>
      <c r="N34" s="85"/>
      <c r="O34" s="85"/>
      <c r="P34" s="85"/>
      <c r="Q34" s="85"/>
      <c r="R34" s="85"/>
      <c r="S34" s="85"/>
      <c r="T34" s="85"/>
      <c r="U34" s="67"/>
    </row>
    <row r="35" spans="1:21" x14ac:dyDescent="0.35">
      <c r="A35" s="61" t="s">
        <v>17</v>
      </c>
      <c r="B35" s="62" t="s">
        <v>18</v>
      </c>
      <c r="C35" s="63">
        <v>1</v>
      </c>
      <c r="D35" s="8" t="s">
        <v>17</v>
      </c>
      <c r="E35" s="63" t="s">
        <v>16</v>
      </c>
      <c r="F35" s="63"/>
      <c r="G35" s="154"/>
      <c r="H35" s="63"/>
      <c r="I35" s="63"/>
      <c r="J35" s="8">
        <v>607</v>
      </c>
      <c r="K35" s="43">
        <v>34413</v>
      </c>
      <c r="L35" s="43"/>
      <c r="M35" s="8"/>
      <c r="N35" s="85"/>
      <c r="O35" s="85"/>
      <c r="P35" s="85"/>
      <c r="Q35" s="85"/>
      <c r="R35" s="85"/>
      <c r="S35" s="85"/>
      <c r="T35" s="85"/>
      <c r="U35" s="67"/>
    </row>
    <row r="36" spans="1:21" x14ac:dyDescent="0.35">
      <c r="A36" s="61" t="s">
        <v>17</v>
      </c>
      <c r="B36" s="72" t="s">
        <v>136</v>
      </c>
      <c r="C36" s="73">
        <v>1</v>
      </c>
      <c r="D36" s="74" t="s">
        <v>133</v>
      </c>
      <c r="E36" s="73" t="s">
        <v>16</v>
      </c>
      <c r="F36" s="73"/>
      <c r="G36" s="155"/>
      <c r="H36" s="73"/>
      <c r="I36" s="73"/>
      <c r="J36" s="8" t="s">
        <v>115</v>
      </c>
      <c r="K36" s="43" t="s">
        <v>115</v>
      </c>
      <c r="L36" s="43"/>
      <c r="M36" s="8"/>
      <c r="N36" s="85"/>
      <c r="O36" s="85"/>
      <c r="P36" s="85"/>
      <c r="Q36" s="85"/>
      <c r="R36" s="85"/>
      <c r="S36" s="85"/>
      <c r="T36" s="85"/>
      <c r="U36" s="67"/>
    </row>
    <row r="37" spans="1:21" x14ac:dyDescent="0.35">
      <c r="A37" s="61"/>
      <c r="B37" s="62" t="s">
        <v>71</v>
      </c>
      <c r="C37" s="68">
        <v>1</v>
      </c>
      <c r="D37" s="66"/>
      <c r="E37" s="63" t="s">
        <v>16</v>
      </c>
      <c r="F37" s="63"/>
      <c r="G37" s="154"/>
      <c r="H37" s="63"/>
      <c r="I37" s="63"/>
      <c r="J37" s="8">
        <v>90</v>
      </c>
      <c r="K37" s="43">
        <v>3380</v>
      </c>
      <c r="L37" s="43"/>
      <c r="M37" s="8"/>
      <c r="N37" s="85"/>
      <c r="O37" s="85"/>
      <c r="P37" s="85"/>
      <c r="Q37" s="85"/>
      <c r="R37" s="85"/>
      <c r="S37" s="85"/>
      <c r="T37" s="85"/>
      <c r="U37" s="67"/>
    </row>
    <row r="38" spans="1:21" x14ac:dyDescent="0.35">
      <c r="A38" s="61"/>
      <c r="B38" s="62" t="s">
        <v>80</v>
      </c>
      <c r="C38" s="68">
        <v>1</v>
      </c>
      <c r="D38" s="66" t="s">
        <v>17</v>
      </c>
      <c r="E38" s="63" t="s">
        <v>16</v>
      </c>
      <c r="F38" s="63" t="s">
        <v>17</v>
      </c>
      <c r="G38" s="154"/>
      <c r="H38" s="63"/>
      <c r="I38" s="63"/>
      <c r="J38" s="8">
        <v>206</v>
      </c>
      <c r="K38" s="43">
        <v>11289</v>
      </c>
      <c r="L38" s="43"/>
      <c r="M38" s="8"/>
      <c r="N38" s="85"/>
      <c r="O38" s="85"/>
      <c r="P38" s="85"/>
      <c r="Q38" s="85"/>
      <c r="R38" s="85"/>
      <c r="S38" s="85"/>
      <c r="T38" s="85"/>
      <c r="U38" s="67"/>
    </row>
    <row r="39" spans="1:21" x14ac:dyDescent="0.35">
      <c r="A39" s="61"/>
      <c r="B39" s="62" t="s">
        <v>2</v>
      </c>
      <c r="C39" s="63">
        <v>1</v>
      </c>
      <c r="D39" s="8" t="s">
        <v>17</v>
      </c>
      <c r="E39" s="63" t="s">
        <v>16</v>
      </c>
      <c r="F39" s="63"/>
      <c r="G39" s="154"/>
      <c r="H39" s="63"/>
      <c r="I39" s="63"/>
      <c r="J39" s="64">
        <v>405</v>
      </c>
      <c r="K39" s="65">
        <v>20037</v>
      </c>
      <c r="L39" s="65"/>
      <c r="M39" s="64"/>
      <c r="N39" s="85"/>
      <c r="O39" s="85"/>
      <c r="P39" s="85"/>
      <c r="Q39" s="85"/>
      <c r="R39" s="85"/>
      <c r="S39" s="85"/>
      <c r="T39" s="85"/>
      <c r="U39" s="67"/>
    </row>
    <row r="40" spans="1:21" x14ac:dyDescent="0.35">
      <c r="A40" s="61"/>
      <c r="B40" s="87" t="s">
        <v>91</v>
      </c>
      <c r="C40" s="63"/>
      <c r="D40" s="146" t="s">
        <v>134</v>
      </c>
      <c r="E40" s="63"/>
      <c r="F40" s="63"/>
      <c r="G40" s="154"/>
      <c r="H40" s="63"/>
      <c r="I40" s="63"/>
      <c r="J40" s="64"/>
      <c r="K40" s="65"/>
      <c r="L40" s="65"/>
      <c r="M40" s="64"/>
      <c r="N40" s="85"/>
      <c r="O40" s="85"/>
      <c r="P40" s="85"/>
      <c r="Q40" s="85"/>
      <c r="R40" s="85"/>
      <c r="S40" s="85"/>
      <c r="T40" s="85"/>
      <c r="U40" s="67"/>
    </row>
    <row r="41" spans="1:21" x14ac:dyDescent="0.35">
      <c r="A41" s="61" t="s">
        <v>17</v>
      </c>
      <c r="B41" s="62" t="s">
        <v>3</v>
      </c>
      <c r="C41" s="63">
        <v>2</v>
      </c>
      <c r="D41" s="8" t="s">
        <v>17</v>
      </c>
      <c r="E41" s="63" t="s">
        <v>96</v>
      </c>
      <c r="F41" s="63"/>
      <c r="G41" s="154"/>
      <c r="H41" s="63"/>
      <c r="I41" s="63"/>
      <c r="J41" s="64">
        <v>22</v>
      </c>
      <c r="K41" s="65">
        <v>367</v>
      </c>
      <c r="L41" s="65">
        <v>6575</v>
      </c>
      <c r="M41" s="64"/>
      <c r="N41" s="151">
        <v>20110929</v>
      </c>
      <c r="O41" s="85"/>
      <c r="P41" s="85"/>
      <c r="Q41" s="85"/>
      <c r="R41" s="85"/>
      <c r="S41" s="85"/>
      <c r="T41" s="85"/>
      <c r="U41" s="67"/>
    </row>
    <row r="42" spans="1:21" x14ac:dyDescent="0.35">
      <c r="A42" s="61"/>
      <c r="B42" s="70" t="s">
        <v>44</v>
      </c>
      <c r="C42" s="63">
        <v>2</v>
      </c>
      <c r="D42" s="8" t="s">
        <v>17</v>
      </c>
      <c r="E42" s="63" t="s">
        <v>96</v>
      </c>
      <c r="F42" s="63"/>
      <c r="G42" s="154"/>
      <c r="H42" s="63"/>
      <c r="I42" s="63"/>
      <c r="J42" s="8">
        <v>25</v>
      </c>
      <c r="K42" s="43">
        <v>1937</v>
      </c>
      <c r="L42" s="43"/>
      <c r="M42" s="8"/>
      <c r="N42" s="85"/>
      <c r="O42" s="85"/>
      <c r="P42" s="85"/>
      <c r="Q42" s="85"/>
      <c r="R42" s="85"/>
      <c r="S42" s="85"/>
      <c r="T42" s="85"/>
      <c r="U42" s="67"/>
    </row>
    <row r="43" spans="1:21" x14ac:dyDescent="0.35">
      <c r="A43" s="61"/>
      <c r="B43" s="70" t="s">
        <v>4</v>
      </c>
      <c r="C43" s="63">
        <v>2</v>
      </c>
      <c r="D43" s="8" t="s">
        <v>17</v>
      </c>
      <c r="E43" s="63" t="s">
        <v>96</v>
      </c>
      <c r="F43" s="63"/>
      <c r="G43" s="154"/>
      <c r="H43" s="63"/>
      <c r="I43" s="63"/>
      <c r="J43" s="64">
        <v>14</v>
      </c>
      <c r="K43" s="65">
        <v>304</v>
      </c>
      <c r="L43" s="65"/>
      <c r="M43" s="64"/>
      <c r="N43" s="85"/>
      <c r="O43" s="85"/>
      <c r="P43" s="85"/>
      <c r="Q43" s="85"/>
      <c r="R43" s="85"/>
      <c r="S43" s="85"/>
      <c r="T43" s="85"/>
      <c r="U43" s="67"/>
    </row>
    <row r="44" spans="1:21" x14ac:dyDescent="0.35">
      <c r="A44" s="61"/>
      <c r="B44" s="62" t="s">
        <v>29</v>
      </c>
      <c r="C44" s="63">
        <v>2</v>
      </c>
      <c r="D44" s="66"/>
      <c r="E44" s="63" t="s">
        <v>96</v>
      </c>
      <c r="F44" s="63"/>
      <c r="G44" s="154"/>
      <c r="H44" s="63"/>
      <c r="I44" s="63"/>
      <c r="J44" s="8">
        <v>25</v>
      </c>
      <c r="K44" s="43">
        <v>863</v>
      </c>
      <c r="L44" s="43"/>
      <c r="M44" s="8"/>
      <c r="N44" s="85"/>
      <c r="O44" s="85"/>
      <c r="P44" s="85"/>
      <c r="Q44" s="85"/>
      <c r="R44" s="85"/>
      <c r="S44" s="85"/>
      <c r="T44" s="85"/>
      <c r="U44" s="67"/>
    </row>
    <row r="45" spans="1:21" x14ac:dyDescent="0.35">
      <c r="A45" s="61"/>
      <c r="B45" s="62" t="s">
        <v>40</v>
      </c>
      <c r="C45" s="63">
        <v>2</v>
      </c>
      <c r="D45" s="8" t="s">
        <v>17</v>
      </c>
      <c r="E45" s="63" t="s">
        <v>96</v>
      </c>
      <c r="F45" s="63"/>
      <c r="G45" s="154"/>
      <c r="H45" s="63"/>
      <c r="I45" s="63"/>
      <c r="J45" s="64">
        <v>25</v>
      </c>
      <c r="K45" s="65">
        <v>1461</v>
      </c>
      <c r="L45" s="65"/>
      <c r="M45" s="64"/>
      <c r="N45" s="85"/>
      <c r="O45" s="85"/>
      <c r="P45" s="85"/>
      <c r="Q45" s="85"/>
      <c r="R45" s="85"/>
      <c r="S45" s="85"/>
      <c r="T45" s="85"/>
      <c r="U45" s="67"/>
    </row>
    <row r="46" spans="1:21" x14ac:dyDescent="0.35">
      <c r="A46" s="61"/>
      <c r="B46" s="62" t="s">
        <v>45</v>
      </c>
      <c r="C46" s="63">
        <v>2</v>
      </c>
      <c r="D46" s="66"/>
      <c r="E46" s="63" t="s">
        <v>96</v>
      </c>
      <c r="F46" s="63"/>
      <c r="G46" s="154"/>
      <c r="H46" s="63"/>
      <c r="I46" s="63"/>
      <c r="J46" s="8">
        <v>24</v>
      </c>
      <c r="K46" s="43">
        <v>559</v>
      </c>
      <c r="L46" s="43"/>
      <c r="M46" s="8"/>
      <c r="N46" s="85"/>
      <c r="O46" s="85"/>
      <c r="P46" s="85"/>
      <c r="Q46" s="85"/>
      <c r="R46" s="85"/>
      <c r="S46" s="85"/>
      <c r="T46" s="85"/>
      <c r="U46" s="67"/>
    </row>
    <row r="47" spans="1:21" x14ac:dyDescent="0.35">
      <c r="A47" s="61"/>
      <c r="B47" s="62" t="s">
        <v>90</v>
      </c>
      <c r="C47" s="68">
        <v>2</v>
      </c>
      <c r="D47" s="66"/>
      <c r="E47" s="63" t="s">
        <v>96</v>
      </c>
      <c r="F47" s="63"/>
      <c r="G47" s="154"/>
      <c r="H47" s="63"/>
      <c r="I47" s="63"/>
      <c r="J47" s="8">
        <v>25</v>
      </c>
      <c r="K47" s="43">
        <v>374</v>
      </c>
      <c r="L47" s="43"/>
      <c r="M47" s="8"/>
      <c r="N47" s="85"/>
      <c r="O47" s="85"/>
      <c r="P47" s="85"/>
      <c r="Q47" s="85"/>
      <c r="R47" s="85"/>
      <c r="S47" s="85"/>
      <c r="T47" s="85"/>
      <c r="U47" s="67"/>
    </row>
    <row r="48" spans="1:21" x14ac:dyDescent="0.35">
      <c r="A48" s="61"/>
      <c r="B48" s="62" t="s">
        <v>73</v>
      </c>
      <c r="C48" s="68">
        <v>2</v>
      </c>
      <c r="D48" s="66"/>
      <c r="E48" s="63" t="s">
        <v>96</v>
      </c>
      <c r="F48" s="63"/>
      <c r="G48" s="154"/>
      <c r="H48" s="63"/>
      <c r="I48" s="63"/>
      <c r="J48" s="8">
        <v>25</v>
      </c>
      <c r="K48" s="43">
        <v>324</v>
      </c>
      <c r="L48" s="43"/>
      <c r="M48" s="8"/>
      <c r="N48" s="85"/>
      <c r="O48" s="85"/>
      <c r="P48" s="85"/>
      <c r="Q48" s="85"/>
      <c r="R48" s="85"/>
      <c r="S48" s="85"/>
      <c r="T48" s="85"/>
      <c r="U48" s="67"/>
    </row>
    <row r="49" spans="1:21" x14ac:dyDescent="0.35">
      <c r="A49" s="61"/>
      <c r="B49" s="62" t="s">
        <v>5</v>
      </c>
      <c r="C49" s="63">
        <v>2</v>
      </c>
      <c r="D49" s="8" t="s">
        <v>17</v>
      </c>
      <c r="E49" s="63" t="s">
        <v>96</v>
      </c>
      <c r="F49" s="63"/>
      <c r="G49" s="154"/>
      <c r="H49" s="63"/>
      <c r="I49" s="63"/>
      <c r="J49" s="64">
        <v>19</v>
      </c>
      <c r="K49" s="65">
        <v>440</v>
      </c>
      <c r="L49" s="65"/>
      <c r="M49" s="64"/>
      <c r="N49" s="85"/>
      <c r="O49" s="85"/>
      <c r="P49" s="85"/>
      <c r="Q49" s="85"/>
      <c r="R49" s="85"/>
      <c r="S49" s="85"/>
      <c r="T49" s="85"/>
      <c r="U49" s="67"/>
    </row>
    <row r="50" spans="1:21" x14ac:dyDescent="0.35">
      <c r="A50" s="61"/>
      <c r="B50" s="87" t="s">
        <v>125</v>
      </c>
      <c r="C50" s="63"/>
      <c r="D50" s="146" t="s">
        <v>134</v>
      </c>
      <c r="E50" s="63"/>
      <c r="F50" s="63"/>
      <c r="G50" s="154"/>
      <c r="H50" s="63"/>
      <c r="I50" s="63"/>
      <c r="J50" s="64"/>
      <c r="K50" s="65"/>
      <c r="L50" s="65"/>
      <c r="M50" s="64"/>
      <c r="N50" s="85"/>
      <c r="O50" s="85"/>
      <c r="P50" s="85"/>
      <c r="Q50" s="85"/>
      <c r="R50" s="85"/>
      <c r="S50" s="85"/>
      <c r="T50" s="85"/>
      <c r="U50" s="67"/>
    </row>
    <row r="51" spans="1:21" x14ac:dyDescent="0.35">
      <c r="A51" s="61" t="s">
        <v>17</v>
      </c>
      <c r="B51" s="70" t="s">
        <v>131</v>
      </c>
      <c r="C51" s="68">
        <v>3</v>
      </c>
      <c r="D51" s="66" t="s">
        <v>17</v>
      </c>
      <c r="E51" s="64" t="s">
        <v>52</v>
      </c>
      <c r="F51" s="64"/>
      <c r="G51" s="65"/>
      <c r="H51" s="64"/>
      <c r="I51" s="64"/>
      <c r="J51" s="8"/>
      <c r="K51" s="43"/>
      <c r="L51" s="43"/>
      <c r="M51" s="8">
        <v>46</v>
      </c>
      <c r="N51" s="85"/>
      <c r="O51" s="85"/>
      <c r="P51" s="85"/>
      <c r="Q51" s="85"/>
      <c r="R51" s="85"/>
      <c r="S51" s="85"/>
      <c r="T51" s="85"/>
      <c r="U51" s="67"/>
    </row>
    <row r="52" spans="1:21" x14ac:dyDescent="0.35">
      <c r="A52" s="61"/>
      <c r="B52" s="70" t="s">
        <v>56</v>
      </c>
      <c r="C52" s="68">
        <v>3</v>
      </c>
      <c r="D52" s="66" t="s">
        <v>17</v>
      </c>
      <c r="E52" s="64" t="s">
        <v>52</v>
      </c>
      <c r="F52" s="64"/>
      <c r="G52" s="65"/>
      <c r="H52" s="64"/>
      <c r="I52" s="64"/>
      <c r="J52" s="8"/>
      <c r="K52" s="43"/>
      <c r="L52" s="43"/>
      <c r="M52" s="8">
        <v>19</v>
      </c>
      <c r="N52" s="85"/>
      <c r="O52" s="85"/>
      <c r="P52" s="85"/>
      <c r="Q52" s="85"/>
      <c r="R52" s="85"/>
      <c r="S52" s="85"/>
      <c r="T52" s="85"/>
      <c r="U52" s="67"/>
    </row>
    <row r="53" spans="1:21" x14ac:dyDescent="0.35">
      <c r="A53" s="61" t="s">
        <v>17</v>
      </c>
      <c r="B53" s="70" t="s">
        <v>11</v>
      </c>
      <c r="C53" s="68">
        <v>3</v>
      </c>
      <c r="D53" s="8" t="s">
        <v>17</v>
      </c>
      <c r="E53" s="64" t="s">
        <v>52</v>
      </c>
      <c r="F53" s="64"/>
      <c r="G53" s="65"/>
      <c r="H53" s="64"/>
      <c r="I53" s="64"/>
      <c r="J53" s="8"/>
      <c r="K53" s="43"/>
      <c r="L53" s="43"/>
      <c r="M53" s="8">
        <v>26</v>
      </c>
      <c r="N53" s="85"/>
      <c r="O53" s="85"/>
      <c r="P53" s="85"/>
      <c r="Q53" s="85"/>
      <c r="R53" s="85"/>
      <c r="S53" s="85"/>
      <c r="T53" s="85"/>
      <c r="U53" s="67"/>
    </row>
    <row r="54" spans="1:21" x14ac:dyDescent="0.35">
      <c r="A54" s="61"/>
      <c r="B54" s="70" t="s">
        <v>57</v>
      </c>
      <c r="C54" s="68">
        <v>3</v>
      </c>
      <c r="D54" s="66"/>
      <c r="E54" s="64" t="s">
        <v>52</v>
      </c>
      <c r="F54" s="64"/>
      <c r="G54" s="65"/>
      <c r="H54" s="64"/>
      <c r="I54" s="64"/>
      <c r="J54" s="8"/>
      <c r="K54" s="43"/>
      <c r="L54" s="43"/>
      <c r="M54" s="8">
        <v>20</v>
      </c>
      <c r="N54" s="85"/>
      <c r="O54" s="85"/>
      <c r="P54" s="85"/>
      <c r="Q54" s="85"/>
      <c r="R54" s="85"/>
      <c r="S54" s="85"/>
      <c r="T54" s="85"/>
      <c r="U54" s="67"/>
    </row>
    <row r="55" spans="1:21" x14ac:dyDescent="0.35">
      <c r="A55" s="61" t="s">
        <v>17</v>
      </c>
      <c r="B55" s="70" t="s">
        <v>13</v>
      </c>
      <c r="C55" s="68">
        <v>3</v>
      </c>
      <c r="D55" s="66" t="s">
        <v>17</v>
      </c>
      <c r="E55" s="64" t="s">
        <v>52</v>
      </c>
      <c r="F55" s="64"/>
      <c r="G55" s="65"/>
      <c r="H55" s="64"/>
      <c r="I55" s="64"/>
      <c r="J55" s="8"/>
      <c r="K55" s="43"/>
      <c r="L55" s="43"/>
      <c r="M55" s="8">
        <v>4</v>
      </c>
      <c r="N55" s="85"/>
      <c r="O55" s="85"/>
      <c r="P55" s="85"/>
      <c r="Q55" s="85"/>
      <c r="R55" s="85"/>
      <c r="S55" s="85"/>
      <c r="T55" s="85"/>
      <c r="U55" s="67"/>
    </row>
    <row r="56" spans="1:21" x14ac:dyDescent="0.35">
      <c r="A56" s="61"/>
      <c r="B56" s="62" t="s">
        <v>8</v>
      </c>
      <c r="C56" s="68">
        <v>3</v>
      </c>
      <c r="D56" s="8" t="s">
        <v>17</v>
      </c>
      <c r="E56" s="64" t="s">
        <v>52</v>
      </c>
      <c r="F56" s="64"/>
      <c r="G56" s="65"/>
      <c r="H56" s="64"/>
      <c r="I56" s="64"/>
      <c r="J56" s="8"/>
      <c r="K56" s="43"/>
      <c r="L56" s="43"/>
      <c r="M56" s="8">
        <v>84</v>
      </c>
      <c r="N56" s="85"/>
      <c r="O56" s="85"/>
      <c r="P56" s="85"/>
      <c r="Q56" s="85"/>
      <c r="R56" s="85"/>
      <c r="S56" s="85"/>
      <c r="T56" s="85"/>
      <c r="U56" s="67"/>
    </row>
    <row r="57" spans="1:21" x14ac:dyDescent="0.35">
      <c r="A57" s="61"/>
      <c r="B57" s="62" t="s">
        <v>9</v>
      </c>
      <c r="C57" s="68">
        <v>3</v>
      </c>
      <c r="D57" s="8" t="s">
        <v>17</v>
      </c>
      <c r="E57" s="64" t="s">
        <v>52</v>
      </c>
      <c r="F57" s="64"/>
      <c r="G57" s="65"/>
      <c r="H57" s="64"/>
      <c r="I57" s="64"/>
      <c r="J57" s="8"/>
      <c r="K57" s="43"/>
      <c r="L57" s="43"/>
      <c r="M57" s="8">
        <v>60</v>
      </c>
      <c r="N57" s="85"/>
      <c r="O57" s="85"/>
      <c r="P57" s="85"/>
      <c r="Q57" s="85"/>
      <c r="R57" s="85"/>
      <c r="S57" s="85"/>
      <c r="T57" s="85"/>
      <c r="U57" s="67"/>
    </row>
    <row r="58" spans="1:21" ht="42" x14ac:dyDescent="0.35">
      <c r="A58" s="61" t="s">
        <v>17</v>
      </c>
      <c r="B58" s="70" t="s">
        <v>61</v>
      </c>
      <c r="C58" s="68">
        <v>3</v>
      </c>
      <c r="D58" s="66" t="s">
        <v>133</v>
      </c>
      <c r="E58" s="64" t="s">
        <v>52</v>
      </c>
      <c r="F58" s="64"/>
      <c r="G58" s="65"/>
      <c r="H58" s="64"/>
      <c r="I58" s="64"/>
      <c r="J58" s="8"/>
      <c r="K58" s="43"/>
      <c r="L58" s="43"/>
      <c r="M58" s="8">
        <v>3</v>
      </c>
      <c r="N58" s="85"/>
      <c r="O58" s="85"/>
      <c r="P58" s="85"/>
      <c r="Q58" s="85"/>
      <c r="R58" s="85"/>
      <c r="S58" s="85"/>
      <c r="T58" s="85"/>
      <c r="U58" s="67"/>
    </row>
    <row r="59" spans="1:21" x14ac:dyDescent="0.35">
      <c r="A59" s="61"/>
      <c r="B59" s="70" t="s">
        <v>42</v>
      </c>
      <c r="C59" s="68">
        <v>3</v>
      </c>
      <c r="D59" s="8" t="s">
        <v>133</v>
      </c>
      <c r="E59" s="64" t="s">
        <v>52</v>
      </c>
      <c r="F59" s="64"/>
      <c r="G59" s="65"/>
      <c r="H59" s="64"/>
      <c r="I59" s="64"/>
      <c r="J59" s="8"/>
      <c r="K59" s="43"/>
      <c r="L59" s="43"/>
      <c r="M59" s="8" t="s">
        <v>133</v>
      </c>
      <c r="N59" s="85"/>
      <c r="O59" s="85"/>
      <c r="P59" s="85"/>
      <c r="Q59" s="85"/>
      <c r="R59" s="85"/>
      <c r="S59" s="85"/>
      <c r="T59" s="85"/>
      <c r="U59" s="67"/>
    </row>
    <row r="60" spans="1:21" x14ac:dyDescent="0.35">
      <c r="A60" s="61" t="s">
        <v>17</v>
      </c>
      <c r="B60" s="62" t="s">
        <v>10</v>
      </c>
      <c r="C60" s="68">
        <v>3</v>
      </c>
      <c r="D60" s="8" t="s">
        <v>17</v>
      </c>
      <c r="E60" s="64" t="s">
        <v>52</v>
      </c>
      <c r="F60" s="64"/>
      <c r="G60" s="65"/>
      <c r="H60" s="64"/>
      <c r="I60" s="64"/>
      <c r="J60" s="8"/>
      <c r="K60" s="43"/>
      <c r="L60" s="43"/>
      <c r="M60" s="8">
        <v>12</v>
      </c>
      <c r="N60" s="85"/>
      <c r="O60" s="85"/>
      <c r="P60" s="85"/>
      <c r="Q60" s="85"/>
      <c r="R60" s="85"/>
      <c r="S60" s="85"/>
      <c r="T60" s="85"/>
      <c r="U60" s="67"/>
    </row>
    <row r="61" spans="1:21" x14ac:dyDescent="0.35">
      <c r="A61" s="61" t="s">
        <v>17</v>
      </c>
      <c r="B61" s="70" t="s">
        <v>63</v>
      </c>
      <c r="C61" s="68">
        <v>3</v>
      </c>
      <c r="D61" s="66" t="s">
        <v>17</v>
      </c>
      <c r="E61" s="64" t="s">
        <v>52</v>
      </c>
      <c r="F61" s="64"/>
      <c r="G61" s="65"/>
      <c r="H61" s="64"/>
      <c r="I61" s="64"/>
      <c r="J61" s="8"/>
      <c r="K61" s="43"/>
      <c r="L61" s="43"/>
      <c r="M61" s="8">
        <v>68</v>
      </c>
      <c r="N61" s="85"/>
      <c r="O61" s="85"/>
      <c r="P61" s="85"/>
      <c r="Q61" s="85"/>
      <c r="R61" s="85"/>
      <c r="S61" s="85"/>
      <c r="T61" s="85"/>
      <c r="U61" s="67"/>
    </row>
    <row r="62" spans="1:21" x14ac:dyDescent="0.35">
      <c r="A62" s="61"/>
      <c r="B62" s="70" t="s">
        <v>64</v>
      </c>
      <c r="C62" s="68">
        <v>3</v>
      </c>
      <c r="D62" s="66"/>
      <c r="E62" s="64" t="s">
        <v>52</v>
      </c>
      <c r="F62" s="64"/>
      <c r="G62" s="65"/>
      <c r="H62" s="64"/>
      <c r="I62" s="64"/>
      <c r="J62" s="8"/>
      <c r="K62" s="43"/>
      <c r="L62" s="43"/>
      <c r="M62" s="8">
        <v>14</v>
      </c>
      <c r="N62" s="85"/>
      <c r="O62" s="85"/>
      <c r="P62" s="85"/>
      <c r="Q62" s="85"/>
      <c r="R62" s="85"/>
      <c r="S62" s="85"/>
      <c r="T62" s="85"/>
      <c r="U62" s="67"/>
    </row>
    <row r="63" spans="1:21" x14ac:dyDescent="0.35">
      <c r="A63" s="61"/>
      <c r="B63" s="70" t="s">
        <v>97</v>
      </c>
      <c r="C63" s="68">
        <v>3</v>
      </c>
      <c r="D63" s="66"/>
      <c r="E63" s="64" t="s">
        <v>52</v>
      </c>
      <c r="F63" s="64"/>
      <c r="G63" s="65"/>
      <c r="H63" s="64"/>
      <c r="I63" s="64"/>
      <c r="J63" s="8"/>
      <c r="K63" s="43"/>
      <c r="L63" s="43"/>
      <c r="M63" s="8">
        <v>11</v>
      </c>
      <c r="N63" s="85"/>
      <c r="O63" s="85"/>
      <c r="P63" s="85"/>
      <c r="Q63" s="85"/>
      <c r="R63" s="85"/>
      <c r="S63" s="85"/>
      <c r="T63" s="85"/>
      <c r="U63" s="67"/>
    </row>
    <row r="64" spans="1:21" x14ac:dyDescent="0.35">
      <c r="A64" s="61" t="s">
        <v>17</v>
      </c>
      <c r="B64" s="70" t="s">
        <v>65</v>
      </c>
      <c r="C64" s="68">
        <v>3</v>
      </c>
      <c r="D64" s="8" t="s">
        <v>17</v>
      </c>
      <c r="E64" s="64" t="s">
        <v>52</v>
      </c>
      <c r="F64" s="64"/>
      <c r="G64" s="65"/>
      <c r="H64" s="64"/>
      <c r="I64" s="64"/>
      <c r="J64" s="8"/>
      <c r="K64" s="43"/>
      <c r="L64" s="43"/>
      <c r="M64" s="8">
        <v>85</v>
      </c>
      <c r="N64" s="85"/>
      <c r="O64" s="85"/>
      <c r="P64" s="85"/>
      <c r="Q64" s="85"/>
      <c r="R64" s="85"/>
      <c r="S64" s="85"/>
      <c r="T64" s="85"/>
      <c r="U64" s="67"/>
    </row>
    <row r="65" spans="1:21" x14ac:dyDescent="0.35">
      <c r="A65" s="61"/>
      <c r="B65" s="70" t="s">
        <v>69</v>
      </c>
      <c r="C65" s="68">
        <v>3</v>
      </c>
      <c r="D65" s="66" t="s">
        <v>17</v>
      </c>
      <c r="E65" s="64" t="s">
        <v>52</v>
      </c>
      <c r="F65" s="64"/>
      <c r="G65" s="65"/>
      <c r="H65" s="64"/>
      <c r="I65" s="64"/>
      <c r="J65" s="8"/>
      <c r="K65" s="43"/>
      <c r="L65" s="43"/>
      <c r="M65" s="8">
        <v>29</v>
      </c>
      <c r="N65" s="85"/>
      <c r="O65" s="85"/>
      <c r="P65" s="85"/>
      <c r="Q65" s="85"/>
      <c r="R65" s="85"/>
      <c r="S65" s="85"/>
      <c r="T65" s="85"/>
      <c r="U65" s="67"/>
    </row>
    <row r="66" spans="1:21" x14ac:dyDescent="0.35">
      <c r="A66" s="61" t="s">
        <v>17</v>
      </c>
      <c r="B66" s="70" t="s">
        <v>12</v>
      </c>
      <c r="C66" s="68">
        <v>3</v>
      </c>
      <c r="D66" s="66" t="s">
        <v>17</v>
      </c>
      <c r="E66" s="64" t="s">
        <v>52</v>
      </c>
      <c r="F66" s="64"/>
      <c r="G66" s="65"/>
      <c r="H66" s="64"/>
      <c r="I66" s="64"/>
      <c r="J66" s="8"/>
      <c r="K66" s="43"/>
      <c r="L66" s="43"/>
      <c r="M66" s="8">
        <v>25</v>
      </c>
      <c r="N66" s="85"/>
      <c r="O66" s="85"/>
      <c r="P66" s="85"/>
      <c r="Q66" s="85"/>
      <c r="R66" s="85"/>
      <c r="S66" s="85"/>
      <c r="T66" s="85"/>
      <c r="U66" s="67"/>
    </row>
    <row r="67" spans="1:21" x14ac:dyDescent="0.35">
      <c r="A67" s="61"/>
      <c r="B67" s="70" t="s">
        <v>70</v>
      </c>
      <c r="C67" s="68">
        <v>3</v>
      </c>
      <c r="D67" s="66" t="s">
        <v>17</v>
      </c>
      <c r="E67" s="64" t="s">
        <v>52</v>
      </c>
      <c r="F67" s="64"/>
      <c r="G67" s="65"/>
      <c r="H67" s="64"/>
      <c r="I67" s="64"/>
      <c r="J67" s="8"/>
      <c r="K67" s="43"/>
      <c r="L67" s="43"/>
      <c r="M67" s="8">
        <v>21</v>
      </c>
      <c r="N67" s="85"/>
      <c r="O67" s="85"/>
      <c r="P67" s="85"/>
      <c r="Q67" s="85"/>
      <c r="R67" s="85"/>
      <c r="S67" s="85"/>
      <c r="T67" s="85"/>
      <c r="U67" s="67"/>
    </row>
    <row r="68" spans="1:21" x14ac:dyDescent="0.35">
      <c r="A68" s="61"/>
      <c r="B68" s="70" t="s">
        <v>72</v>
      </c>
      <c r="C68" s="68">
        <v>3</v>
      </c>
      <c r="D68" s="66" t="s">
        <v>17</v>
      </c>
      <c r="E68" s="64" t="s">
        <v>52</v>
      </c>
      <c r="F68" s="64"/>
      <c r="G68" s="65"/>
      <c r="H68" s="64"/>
      <c r="I68" s="64"/>
      <c r="J68" s="8"/>
      <c r="K68" s="43"/>
      <c r="L68" s="43"/>
      <c r="M68" s="8">
        <v>6</v>
      </c>
      <c r="N68" s="85"/>
      <c r="O68" s="85"/>
      <c r="P68" s="85"/>
      <c r="Q68" s="85"/>
      <c r="R68" s="85"/>
      <c r="S68" s="85"/>
      <c r="T68" s="85"/>
      <c r="U68" s="67"/>
    </row>
    <row r="69" spans="1:21" x14ac:dyDescent="0.35">
      <c r="A69" s="61"/>
      <c r="B69" s="88" t="s">
        <v>126</v>
      </c>
      <c r="C69" s="68"/>
      <c r="D69" s="146" t="s">
        <v>134</v>
      </c>
      <c r="E69" s="64"/>
      <c r="F69" s="64"/>
      <c r="G69" s="65"/>
      <c r="H69" s="64"/>
      <c r="I69" s="64"/>
      <c r="J69" s="8"/>
      <c r="K69" s="43"/>
      <c r="L69" s="43"/>
      <c r="M69" s="8"/>
      <c r="N69" s="85"/>
      <c r="O69" s="85"/>
      <c r="P69" s="85"/>
      <c r="Q69" s="85"/>
      <c r="R69" s="85"/>
      <c r="S69" s="85"/>
      <c r="T69" s="85"/>
      <c r="U69" s="67"/>
    </row>
    <row r="70" spans="1:21" x14ac:dyDescent="0.35">
      <c r="A70" s="61"/>
      <c r="B70" s="70" t="s">
        <v>58</v>
      </c>
      <c r="C70" s="68">
        <v>4</v>
      </c>
      <c r="D70" s="66"/>
      <c r="E70" s="64" t="s">
        <v>53</v>
      </c>
      <c r="F70" s="64"/>
      <c r="G70" s="65"/>
      <c r="H70" s="64"/>
      <c r="I70" s="64"/>
      <c r="J70" s="8"/>
      <c r="K70" s="43"/>
      <c r="L70" s="43"/>
      <c r="M70" s="8">
        <v>3</v>
      </c>
      <c r="N70" s="85"/>
      <c r="O70" s="85"/>
      <c r="P70" s="85"/>
      <c r="Q70" s="85"/>
      <c r="R70" s="85"/>
      <c r="S70" s="85"/>
      <c r="T70" s="85"/>
      <c r="U70" s="67"/>
    </row>
    <row r="71" spans="1:21" x14ac:dyDescent="0.35">
      <c r="A71" s="61"/>
      <c r="B71" s="70" t="s">
        <v>78</v>
      </c>
      <c r="C71" s="68">
        <v>4</v>
      </c>
      <c r="D71" s="66"/>
      <c r="E71" s="64" t="s">
        <v>53</v>
      </c>
      <c r="F71" s="64"/>
      <c r="G71" s="65"/>
      <c r="H71" s="64"/>
      <c r="I71" s="64"/>
      <c r="J71" s="8"/>
      <c r="K71" s="43"/>
      <c r="L71" s="43"/>
      <c r="M71" s="8">
        <v>9</v>
      </c>
      <c r="N71" s="85"/>
      <c r="O71" s="85"/>
      <c r="P71" s="85"/>
      <c r="Q71" s="85"/>
      <c r="R71" s="85"/>
      <c r="S71" s="85"/>
      <c r="T71" s="85"/>
      <c r="U71" s="67"/>
    </row>
    <row r="72" spans="1:21" ht="21" customHeight="1" x14ac:dyDescent="0.35">
      <c r="A72" s="61"/>
      <c r="B72" s="70" t="s">
        <v>59</v>
      </c>
      <c r="C72" s="68">
        <v>4</v>
      </c>
      <c r="D72" s="66" t="s">
        <v>133</v>
      </c>
      <c r="E72" s="64" t="s">
        <v>53</v>
      </c>
      <c r="F72" s="64"/>
      <c r="G72" s="65"/>
      <c r="H72" s="64"/>
      <c r="I72" s="64"/>
      <c r="J72" s="8"/>
      <c r="K72" s="43"/>
      <c r="L72" s="43"/>
      <c r="M72" s="8">
        <v>16</v>
      </c>
      <c r="N72" s="85"/>
      <c r="O72" s="85"/>
      <c r="P72" s="85"/>
      <c r="Q72" s="85"/>
      <c r="R72" s="85"/>
      <c r="S72" s="85"/>
      <c r="T72" s="85"/>
      <c r="U72" s="67"/>
    </row>
    <row r="73" spans="1:21" x14ac:dyDescent="0.35">
      <c r="A73" s="61"/>
      <c r="B73" s="70" t="s">
        <v>79</v>
      </c>
      <c r="C73" s="68">
        <v>4</v>
      </c>
      <c r="D73" s="66"/>
      <c r="E73" s="64" t="s">
        <v>53</v>
      </c>
      <c r="F73" s="64"/>
      <c r="G73" s="65"/>
      <c r="H73" s="64"/>
      <c r="I73" s="64"/>
      <c r="J73" s="8"/>
      <c r="K73" s="43"/>
      <c r="L73" s="43"/>
      <c r="M73" s="8">
        <v>3</v>
      </c>
      <c r="N73" s="85"/>
      <c r="O73" s="85"/>
      <c r="P73" s="85"/>
      <c r="Q73" s="85"/>
      <c r="R73" s="85"/>
      <c r="S73" s="85"/>
      <c r="T73" s="85"/>
      <c r="U73" s="67"/>
    </row>
    <row r="74" spans="1:21" ht="42" x14ac:dyDescent="0.35">
      <c r="A74" s="61"/>
      <c r="B74" s="70" t="s">
        <v>66</v>
      </c>
      <c r="C74" s="68">
        <v>4</v>
      </c>
      <c r="D74" s="66"/>
      <c r="E74" s="64" t="s">
        <v>53</v>
      </c>
      <c r="F74" s="64"/>
      <c r="G74" s="65"/>
      <c r="H74" s="64"/>
      <c r="I74" s="64"/>
      <c r="J74" s="8"/>
      <c r="K74" s="43"/>
      <c r="L74" s="43"/>
      <c r="M74" s="8">
        <v>1</v>
      </c>
      <c r="N74" s="85"/>
      <c r="O74" s="85"/>
      <c r="P74" s="85"/>
      <c r="Q74" s="85"/>
      <c r="R74" s="85"/>
      <c r="S74" s="85"/>
      <c r="T74" s="85"/>
      <c r="U74" s="67"/>
    </row>
    <row r="75" spans="1:21" ht="42" x14ac:dyDescent="0.35">
      <c r="A75" s="61"/>
      <c r="B75" s="70" t="s">
        <v>190</v>
      </c>
      <c r="C75" s="68">
        <v>4</v>
      </c>
      <c r="D75" s="66" t="s">
        <v>17</v>
      </c>
      <c r="E75" s="64" t="s">
        <v>53</v>
      </c>
      <c r="F75" s="64"/>
      <c r="G75" s="65"/>
      <c r="H75" s="64"/>
      <c r="I75" s="64"/>
      <c r="J75" s="8"/>
      <c r="K75" s="43"/>
      <c r="L75" s="43"/>
      <c r="M75" s="8">
        <v>9</v>
      </c>
      <c r="N75" s="85"/>
      <c r="O75" s="85"/>
      <c r="P75" s="85"/>
      <c r="Q75" s="85"/>
      <c r="R75" s="85"/>
      <c r="S75" s="85"/>
      <c r="T75" s="85"/>
      <c r="U75" s="67"/>
    </row>
    <row r="76" spans="1:21" x14ac:dyDescent="0.35">
      <c r="A76" s="61"/>
      <c r="B76" s="70" t="s">
        <v>67</v>
      </c>
      <c r="C76" s="68">
        <v>4</v>
      </c>
      <c r="D76" s="66"/>
      <c r="E76" s="64" t="s">
        <v>53</v>
      </c>
      <c r="F76" s="64"/>
      <c r="G76" s="65"/>
      <c r="H76" s="64"/>
      <c r="I76" s="64"/>
      <c r="J76" s="8"/>
      <c r="K76" s="43"/>
      <c r="L76" s="43"/>
      <c r="M76" s="8">
        <v>25</v>
      </c>
      <c r="N76" s="85"/>
      <c r="O76" s="85"/>
      <c r="P76" s="85"/>
      <c r="Q76" s="85"/>
      <c r="R76" s="85"/>
      <c r="S76" s="85"/>
      <c r="T76" s="85"/>
      <c r="U76" s="67"/>
    </row>
    <row r="77" spans="1:21" x14ac:dyDescent="0.35">
      <c r="A77" s="61"/>
      <c r="B77" s="70" t="s">
        <v>98</v>
      </c>
      <c r="C77" s="68">
        <v>4</v>
      </c>
      <c r="D77" s="66"/>
      <c r="E77" s="64" t="s">
        <v>53</v>
      </c>
      <c r="F77" s="64"/>
      <c r="G77" s="65"/>
      <c r="H77" s="64"/>
      <c r="I77" s="64"/>
      <c r="J77" s="8"/>
      <c r="K77" s="43"/>
      <c r="L77" s="43"/>
      <c r="M77" s="8">
        <v>1</v>
      </c>
      <c r="N77" s="85"/>
      <c r="O77" s="85"/>
      <c r="P77" s="85"/>
      <c r="Q77" s="85"/>
      <c r="R77" s="85"/>
      <c r="S77" s="85"/>
      <c r="T77" s="85"/>
      <c r="U77" s="67"/>
    </row>
    <row r="78" spans="1:21" x14ac:dyDescent="0.35">
      <c r="A78" s="61"/>
      <c r="B78" s="88" t="s">
        <v>127</v>
      </c>
      <c r="C78" s="68"/>
      <c r="D78" s="146" t="s">
        <v>134</v>
      </c>
      <c r="E78" s="64"/>
      <c r="F78" s="64"/>
      <c r="G78" s="65"/>
      <c r="H78" s="64"/>
      <c r="I78" s="64"/>
      <c r="J78" s="8"/>
      <c r="K78" s="43"/>
      <c r="L78" s="43"/>
      <c r="M78" s="8"/>
      <c r="N78" s="85"/>
      <c r="O78" s="85"/>
      <c r="P78" s="85"/>
      <c r="Q78" s="85"/>
      <c r="R78" s="85"/>
      <c r="S78" s="85"/>
      <c r="T78" s="85"/>
      <c r="U78" s="67"/>
    </row>
    <row r="79" spans="1:21" x14ac:dyDescent="0.35">
      <c r="A79" s="61"/>
      <c r="B79" s="62" t="s">
        <v>43</v>
      </c>
      <c r="C79" s="63">
        <v>5</v>
      </c>
      <c r="D79" s="8"/>
      <c r="E79" s="64" t="s">
        <v>27</v>
      </c>
      <c r="F79" s="64"/>
      <c r="G79" s="65"/>
      <c r="H79" s="64"/>
      <c r="I79" s="64"/>
      <c r="J79" s="8"/>
      <c r="K79" s="43"/>
      <c r="L79" s="43"/>
      <c r="M79" s="8">
        <v>1</v>
      </c>
      <c r="N79" s="85"/>
      <c r="O79" s="85"/>
      <c r="P79" s="85"/>
      <c r="Q79" s="85"/>
      <c r="R79" s="85"/>
      <c r="S79" s="85"/>
      <c r="T79" s="85"/>
      <c r="U79" s="67"/>
    </row>
    <row r="80" spans="1:21" x14ac:dyDescent="0.35">
      <c r="A80" s="61"/>
      <c r="B80" s="62" t="s">
        <v>124</v>
      </c>
      <c r="C80" s="63">
        <v>5</v>
      </c>
      <c r="D80" s="8" t="s">
        <v>17</v>
      </c>
      <c r="E80" s="64" t="s">
        <v>27</v>
      </c>
      <c r="F80" s="64"/>
      <c r="G80" s="65"/>
      <c r="H80" s="64"/>
      <c r="I80" s="64"/>
      <c r="J80" s="8"/>
      <c r="K80" s="43"/>
      <c r="L80" s="43"/>
      <c r="M80" s="8"/>
      <c r="N80" s="85"/>
      <c r="O80" s="85"/>
      <c r="P80" s="85"/>
      <c r="Q80" s="85"/>
      <c r="R80" s="85"/>
      <c r="S80" s="85"/>
      <c r="T80" s="85"/>
      <c r="U80" s="67"/>
    </row>
    <row r="81" spans="1:21" x14ac:dyDescent="0.35">
      <c r="A81" s="61" t="s">
        <v>17</v>
      </c>
      <c r="B81" s="62" t="s">
        <v>35</v>
      </c>
      <c r="C81" s="63">
        <v>5</v>
      </c>
      <c r="D81" s="8" t="s">
        <v>133</v>
      </c>
      <c r="E81" s="64" t="s">
        <v>27</v>
      </c>
      <c r="F81" s="64"/>
      <c r="G81" s="65"/>
      <c r="H81" s="64"/>
      <c r="I81" s="64"/>
      <c r="J81" s="8"/>
      <c r="K81" s="43"/>
      <c r="L81" s="43"/>
      <c r="M81" s="8">
        <v>1100</v>
      </c>
      <c r="N81" s="85"/>
      <c r="O81" s="85"/>
      <c r="P81" s="85"/>
      <c r="Q81" s="85"/>
      <c r="R81" s="85"/>
      <c r="S81" s="85"/>
      <c r="T81" s="85"/>
      <c r="U81" s="67"/>
    </row>
    <row r="82" spans="1:21" x14ac:dyDescent="0.35">
      <c r="A82" s="61"/>
      <c r="B82" s="62" t="s">
        <v>132</v>
      </c>
      <c r="C82" s="63">
        <v>5</v>
      </c>
      <c r="D82" s="8" t="s">
        <v>17</v>
      </c>
      <c r="E82" s="64" t="s">
        <v>27</v>
      </c>
      <c r="F82" s="64"/>
      <c r="G82" s="65"/>
      <c r="H82" s="64"/>
      <c r="I82" s="64"/>
      <c r="J82" s="8"/>
      <c r="K82" s="43"/>
      <c r="L82" s="43"/>
      <c r="M82" s="8"/>
      <c r="N82" s="85"/>
      <c r="O82" s="85"/>
      <c r="P82" s="85"/>
      <c r="Q82" s="85"/>
      <c r="R82" s="85"/>
      <c r="S82" s="85"/>
      <c r="T82" s="85"/>
      <c r="U82" s="67"/>
    </row>
    <row r="83" spans="1:21" x14ac:dyDescent="0.35">
      <c r="A83" s="61"/>
      <c r="B83" s="62" t="s">
        <v>129</v>
      </c>
      <c r="C83" s="63">
        <v>5</v>
      </c>
      <c r="D83" s="8" t="s">
        <v>133</v>
      </c>
      <c r="E83" s="64" t="s">
        <v>27</v>
      </c>
      <c r="F83" s="64"/>
      <c r="G83" s="65"/>
      <c r="H83" s="64"/>
      <c r="I83" s="64"/>
      <c r="J83" s="8"/>
      <c r="K83" s="43"/>
      <c r="L83" s="43"/>
      <c r="M83" s="8">
        <v>80</v>
      </c>
      <c r="N83" s="85"/>
      <c r="O83" s="85"/>
      <c r="P83" s="85"/>
      <c r="Q83" s="85"/>
      <c r="R83" s="85"/>
      <c r="S83" s="85"/>
      <c r="T83" s="85"/>
      <c r="U83" s="67"/>
    </row>
    <row r="84" spans="1:21" x14ac:dyDescent="0.35">
      <c r="A84" s="61"/>
      <c r="B84" s="62" t="s">
        <v>170</v>
      </c>
      <c r="C84" s="63">
        <v>5</v>
      </c>
      <c r="D84" s="8" t="s">
        <v>17</v>
      </c>
      <c r="E84" s="64" t="s">
        <v>27</v>
      </c>
      <c r="F84" s="64"/>
      <c r="G84" s="65"/>
      <c r="H84" s="64"/>
      <c r="I84" s="64"/>
      <c r="J84" s="8"/>
      <c r="K84" s="43"/>
      <c r="L84" s="43"/>
      <c r="M84" s="8"/>
      <c r="N84" s="85"/>
      <c r="O84" s="85"/>
      <c r="P84" s="85"/>
      <c r="Q84" s="85"/>
      <c r="R84" s="85"/>
      <c r="S84" s="85"/>
      <c r="T84" s="85"/>
      <c r="U84" s="67"/>
    </row>
    <row r="85" spans="1:21" x14ac:dyDescent="0.35">
      <c r="A85" s="61" t="s">
        <v>17</v>
      </c>
      <c r="B85" s="62" t="s">
        <v>112</v>
      </c>
      <c r="C85" s="63">
        <v>5</v>
      </c>
      <c r="D85" s="8" t="s">
        <v>17</v>
      </c>
      <c r="E85" s="64" t="s">
        <v>27</v>
      </c>
      <c r="F85" s="64"/>
      <c r="G85" s="65"/>
      <c r="H85" s="64"/>
      <c r="I85" s="64"/>
      <c r="J85" s="8"/>
      <c r="K85" s="43"/>
      <c r="L85" s="43"/>
      <c r="M85" s="8">
        <v>250</v>
      </c>
      <c r="N85" s="85"/>
      <c r="O85" s="85"/>
      <c r="P85" s="85"/>
      <c r="Q85" s="85"/>
      <c r="R85" s="85"/>
      <c r="S85" s="85"/>
      <c r="T85" s="85"/>
      <c r="U85" s="67"/>
    </row>
    <row r="86" spans="1:21" x14ac:dyDescent="0.35">
      <c r="A86" s="61"/>
      <c r="B86" s="62" t="s">
        <v>192</v>
      </c>
      <c r="C86" s="63"/>
      <c r="D86" s="8" t="s">
        <v>17</v>
      </c>
      <c r="E86" s="64"/>
      <c r="F86" s="64"/>
      <c r="G86" s="65"/>
      <c r="H86" s="64"/>
      <c r="I86" s="64"/>
      <c r="J86" s="8"/>
      <c r="K86" s="43"/>
      <c r="L86" s="43"/>
      <c r="M86" s="8"/>
      <c r="N86" s="85"/>
      <c r="O86" s="85"/>
      <c r="P86" s="85"/>
      <c r="Q86" s="85"/>
      <c r="R86" s="85"/>
      <c r="S86" s="85"/>
      <c r="T86" s="85"/>
      <c r="U86" s="67"/>
    </row>
    <row r="87" spans="1:21" x14ac:dyDescent="0.35">
      <c r="A87" s="61" t="s">
        <v>17</v>
      </c>
      <c r="B87" s="62" t="s">
        <v>153</v>
      </c>
      <c r="C87" s="63">
        <v>5</v>
      </c>
      <c r="D87" s="8" t="s">
        <v>17</v>
      </c>
      <c r="E87" s="64"/>
      <c r="F87" s="64"/>
      <c r="G87" s="65"/>
      <c r="H87" s="64"/>
      <c r="I87" s="64"/>
      <c r="J87" s="8"/>
      <c r="K87" s="43"/>
      <c r="L87" s="43"/>
      <c r="M87" s="8"/>
      <c r="N87" s="85"/>
      <c r="O87" s="85"/>
      <c r="P87" s="85"/>
      <c r="Q87" s="85"/>
      <c r="R87" s="85"/>
      <c r="S87" s="85"/>
      <c r="T87" s="85"/>
      <c r="U87" s="67"/>
    </row>
    <row r="88" spans="1:21" x14ac:dyDescent="0.35">
      <c r="A88" s="61"/>
      <c r="B88" s="62" t="s">
        <v>37</v>
      </c>
      <c r="C88" s="63">
        <v>5</v>
      </c>
      <c r="D88" s="8"/>
      <c r="E88" s="64" t="s">
        <v>27</v>
      </c>
      <c r="F88" s="64"/>
      <c r="G88" s="65"/>
      <c r="H88" s="64"/>
      <c r="I88" s="64"/>
      <c r="J88" s="8"/>
      <c r="K88" s="43"/>
      <c r="L88" s="43"/>
      <c r="M88" s="8"/>
      <c r="N88" s="85"/>
      <c r="O88" s="85"/>
      <c r="P88" s="85"/>
      <c r="Q88" s="85"/>
      <c r="R88" s="85"/>
      <c r="S88" s="85"/>
      <c r="T88" s="85"/>
      <c r="U88" s="67"/>
    </row>
    <row r="89" spans="1:21" x14ac:dyDescent="0.35">
      <c r="A89" s="61"/>
      <c r="B89" s="62" t="s">
        <v>171</v>
      </c>
      <c r="C89" s="63">
        <v>5</v>
      </c>
      <c r="D89" s="8" t="s">
        <v>17</v>
      </c>
      <c r="E89" s="64" t="s">
        <v>27</v>
      </c>
      <c r="F89" s="64"/>
      <c r="G89" s="65"/>
      <c r="H89" s="64"/>
      <c r="I89" s="64"/>
      <c r="J89" s="8"/>
      <c r="K89" s="43"/>
      <c r="L89" s="43"/>
      <c r="M89" s="8"/>
      <c r="N89" s="85"/>
      <c r="O89" s="85"/>
      <c r="P89" s="85"/>
      <c r="Q89" s="85"/>
      <c r="R89" s="85"/>
      <c r="S89" s="85"/>
      <c r="T89" s="85"/>
      <c r="U89" s="67"/>
    </row>
    <row r="90" spans="1:21" x14ac:dyDescent="0.35">
      <c r="A90" s="61"/>
      <c r="B90" s="62" t="s">
        <v>172</v>
      </c>
      <c r="C90" s="63">
        <v>5</v>
      </c>
      <c r="D90" s="8" t="s">
        <v>17</v>
      </c>
      <c r="E90" s="64" t="s">
        <v>27</v>
      </c>
      <c r="F90" s="64"/>
      <c r="G90" s="65"/>
      <c r="H90" s="64"/>
      <c r="I90" s="64"/>
      <c r="J90" s="8"/>
      <c r="K90" s="43"/>
      <c r="L90" s="43"/>
      <c r="M90" s="8"/>
      <c r="N90" s="85"/>
      <c r="O90" s="85"/>
      <c r="P90" s="85"/>
      <c r="Q90" s="85"/>
      <c r="R90" s="85"/>
      <c r="S90" s="85"/>
      <c r="T90" s="85"/>
      <c r="U90" s="67"/>
    </row>
    <row r="91" spans="1:21" ht="42" x14ac:dyDescent="0.35">
      <c r="A91" s="61"/>
      <c r="B91" s="62" t="s">
        <v>135</v>
      </c>
      <c r="C91" s="63">
        <v>5</v>
      </c>
      <c r="D91" s="8" t="s">
        <v>133</v>
      </c>
      <c r="E91" s="64" t="s">
        <v>27</v>
      </c>
      <c r="F91" s="64"/>
      <c r="G91" s="65"/>
      <c r="H91" s="64"/>
      <c r="I91" s="64"/>
      <c r="J91" s="8"/>
      <c r="K91" s="43"/>
      <c r="L91" s="43"/>
      <c r="M91" s="8">
        <v>550</v>
      </c>
      <c r="N91" s="85"/>
      <c r="O91" s="85"/>
      <c r="P91" s="85"/>
      <c r="Q91" s="85"/>
      <c r="R91" s="85"/>
      <c r="S91" s="85"/>
      <c r="T91" s="85"/>
      <c r="U91" s="67"/>
    </row>
    <row r="92" spans="1:21" x14ac:dyDescent="0.35">
      <c r="A92" s="61" t="s">
        <v>17</v>
      </c>
      <c r="B92" s="62" t="s">
        <v>113</v>
      </c>
      <c r="C92" s="63">
        <v>5</v>
      </c>
      <c r="D92" s="8" t="s">
        <v>17</v>
      </c>
      <c r="E92" s="64" t="s">
        <v>27</v>
      </c>
      <c r="F92" s="64"/>
      <c r="G92" s="65"/>
      <c r="H92" s="64"/>
      <c r="I92" s="64"/>
      <c r="J92" s="8"/>
      <c r="K92" s="43"/>
      <c r="L92" s="43"/>
      <c r="M92" s="8"/>
      <c r="N92" s="85"/>
      <c r="O92" s="85"/>
      <c r="P92" s="85"/>
      <c r="Q92" s="85"/>
      <c r="R92" s="85"/>
      <c r="S92" s="85"/>
      <c r="T92" s="85"/>
      <c r="U92" s="67"/>
    </row>
    <row r="93" spans="1:21" x14ac:dyDescent="0.35">
      <c r="A93" s="61" t="s">
        <v>17</v>
      </c>
      <c r="B93" s="62" t="s">
        <v>138</v>
      </c>
      <c r="C93" s="63">
        <v>5</v>
      </c>
      <c r="D93" s="8" t="s">
        <v>17</v>
      </c>
      <c r="E93" s="64" t="s">
        <v>27</v>
      </c>
      <c r="F93" s="64"/>
      <c r="G93" s="65"/>
      <c r="H93" s="64"/>
      <c r="I93" s="64"/>
      <c r="J93" s="8"/>
      <c r="K93" s="43"/>
      <c r="L93" s="43"/>
      <c r="M93" s="8"/>
      <c r="N93" s="85"/>
      <c r="O93" s="85"/>
      <c r="P93" s="85"/>
      <c r="Q93" s="85"/>
      <c r="R93" s="85"/>
      <c r="S93" s="85"/>
      <c r="T93" s="85"/>
      <c r="U93" s="67"/>
    </row>
    <row r="94" spans="1:21" x14ac:dyDescent="0.35">
      <c r="A94" s="61" t="s">
        <v>17</v>
      </c>
      <c r="B94" s="62" t="s">
        <v>152</v>
      </c>
      <c r="C94" s="63">
        <v>5</v>
      </c>
      <c r="D94" s="8" t="s">
        <v>17</v>
      </c>
      <c r="E94" s="64" t="s">
        <v>27</v>
      </c>
      <c r="F94" s="64"/>
      <c r="G94" s="65"/>
      <c r="H94" s="64"/>
      <c r="I94" s="64"/>
      <c r="J94" s="8"/>
      <c r="K94" s="43"/>
      <c r="L94" s="43"/>
      <c r="M94" s="8"/>
      <c r="N94" s="85"/>
      <c r="O94" s="85"/>
      <c r="P94" s="85"/>
      <c r="Q94" s="85"/>
      <c r="R94" s="85"/>
      <c r="S94" s="85"/>
      <c r="T94" s="85"/>
      <c r="U94" s="67"/>
    </row>
    <row r="95" spans="1:21" x14ac:dyDescent="0.35">
      <c r="A95" s="61" t="s">
        <v>17</v>
      </c>
      <c r="B95" s="62" t="s">
        <v>157</v>
      </c>
      <c r="C95" s="63">
        <v>5</v>
      </c>
      <c r="D95" s="8" t="s">
        <v>17</v>
      </c>
      <c r="E95" s="64" t="s">
        <v>27</v>
      </c>
      <c r="F95" s="64"/>
      <c r="G95" s="65"/>
      <c r="H95" s="64"/>
      <c r="I95" s="64"/>
      <c r="J95" s="8"/>
      <c r="K95" s="43"/>
      <c r="L95" s="43"/>
      <c r="M95" s="8"/>
      <c r="N95" s="85"/>
      <c r="O95" s="85"/>
      <c r="P95" s="85"/>
      <c r="Q95" s="85"/>
      <c r="R95" s="85"/>
      <c r="S95" s="85"/>
      <c r="T95" s="85"/>
      <c r="U95" s="67"/>
    </row>
    <row r="96" spans="1:21" x14ac:dyDescent="0.35">
      <c r="A96" s="61" t="s">
        <v>17</v>
      </c>
      <c r="B96" s="62" t="s">
        <v>139</v>
      </c>
      <c r="C96" s="63">
        <v>5</v>
      </c>
      <c r="D96" s="8" t="s">
        <v>17</v>
      </c>
      <c r="E96" s="64" t="s">
        <v>27</v>
      </c>
      <c r="F96" s="64"/>
      <c r="G96" s="65"/>
      <c r="H96" s="64"/>
      <c r="I96" s="64"/>
      <c r="J96" s="8"/>
      <c r="K96" s="43"/>
      <c r="L96" s="43"/>
      <c r="M96" s="8"/>
      <c r="N96" s="85"/>
      <c r="O96" s="85"/>
      <c r="P96" s="85"/>
      <c r="Q96" s="85"/>
      <c r="R96" s="85"/>
      <c r="S96" s="85"/>
      <c r="T96" s="85"/>
      <c r="U96" s="67"/>
    </row>
    <row r="97" spans="1:21" x14ac:dyDescent="0.35">
      <c r="A97" s="61"/>
      <c r="B97" s="62" t="s">
        <v>122</v>
      </c>
      <c r="C97" s="63">
        <v>5</v>
      </c>
      <c r="D97" s="8" t="s">
        <v>133</v>
      </c>
      <c r="E97" s="64" t="s">
        <v>27</v>
      </c>
      <c r="F97" s="64"/>
      <c r="G97" s="65"/>
      <c r="H97" s="64"/>
      <c r="I97" s="64"/>
      <c r="J97" s="8"/>
      <c r="K97" s="43"/>
      <c r="L97" s="43"/>
      <c r="M97" s="8"/>
      <c r="N97" s="85"/>
      <c r="O97" s="85"/>
      <c r="P97" s="85"/>
      <c r="Q97" s="85"/>
      <c r="R97" s="85"/>
      <c r="S97" s="85"/>
      <c r="T97" s="85"/>
      <c r="U97" s="67"/>
    </row>
    <row r="98" spans="1:21" x14ac:dyDescent="0.35">
      <c r="A98" s="61" t="s">
        <v>17</v>
      </c>
      <c r="B98" s="62" t="s">
        <v>154</v>
      </c>
      <c r="C98" s="63">
        <v>5</v>
      </c>
      <c r="D98" s="8" t="s">
        <v>17</v>
      </c>
      <c r="E98" s="64" t="s">
        <v>27</v>
      </c>
      <c r="F98" s="64"/>
      <c r="G98" s="65"/>
      <c r="H98" s="64"/>
      <c r="I98" s="64"/>
      <c r="J98" s="8"/>
      <c r="K98" s="43"/>
      <c r="L98" s="43"/>
      <c r="M98" s="8"/>
      <c r="N98" s="85"/>
      <c r="O98" s="85"/>
      <c r="P98" s="85"/>
      <c r="Q98" s="85"/>
      <c r="R98" s="85"/>
      <c r="S98" s="85"/>
      <c r="T98" s="85"/>
      <c r="U98" s="67"/>
    </row>
    <row r="99" spans="1:21" x14ac:dyDescent="0.35">
      <c r="A99" s="61"/>
      <c r="B99" s="62" t="s">
        <v>173</v>
      </c>
      <c r="C99" s="63">
        <v>5</v>
      </c>
      <c r="D99" s="8" t="s">
        <v>17</v>
      </c>
      <c r="E99" s="64" t="s">
        <v>27</v>
      </c>
      <c r="F99" s="64"/>
      <c r="G99" s="65"/>
      <c r="H99" s="64"/>
      <c r="I99" s="64"/>
      <c r="J99" s="8"/>
      <c r="K99" s="43"/>
      <c r="L99" s="43"/>
      <c r="M99" s="8"/>
      <c r="N99" s="85"/>
      <c r="O99" s="85"/>
      <c r="P99" s="85"/>
      <c r="Q99" s="85"/>
      <c r="R99" s="85"/>
      <c r="S99" s="85"/>
      <c r="T99" s="85"/>
      <c r="U99" s="67"/>
    </row>
    <row r="100" spans="1:21" x14ac:dyDescent="0.35">
      <c r="A100" s="61"/>
      <c r="B100" s="62" t="s">
        <v>194</v>
      </c>
      <c r="C100" s="63"/>
      <c r="D100" s="8" t="s">
        <v>17</v>
      </c>
      <c r="E100" s="64"/>
      <c r="F100" s="64"/>
      <c r="G100" s="65"/>
      <c r="H100" s="64"/>
      <c r="I100" s="64"/>
      <c r="J100" s="8"/>
      <c r="K100" s="43"/>
      <c r="L100" s="43"/>
      <c r="M100" s="8"/>
      <c r="N100" s="85"/>
      <c r="O100" s="85"/>
      <c r="P100" s="85"/>
      <c r="Q100" s="85"/>
      <c r="R100" s="85"/>
      <c r="S100" s="85"/>
      <c r="T100" s="85"/>
      <c r="U100" s="67"/>
    </row>
    <row r="101" spans="1:21" x14ac:dyDescent="0.35">
      <c r="A101" s="61"/>
      <c r="B101" s="62" t="s">
        <v>193</v>
      </c>
      <c r="C101" s="63"/>
      <c r="D101" s="8" t="s">
        <v>17</v>
      </c>
      <c r="E101" s="64"/>
      <c r="F101" s="64"/>
      <c r="G101" s="65"/>
      <c r="H101" s="64"/>
      <c r="I101" s="64"/>
      <c r="J101" s="8"/>
      <c r="K101" s="43"/>
      <c r="L101" s="43"/>
      <c r="M101" s="8"/>
      <c r="N101" s="85"/>
      <c r="O101" s="85"/>
      <c r="P101" s="85"/>
      <c r="Q101" s="85"/>
      <c r="R101" s="85"/>
      <c r="S101" s="85"/>
      <c r="T101" s="85"/>
      <c r="U101" s="67"/>
    </row>
    <row r="102" spans="1:21" ht="42" x14ac:dyDescent="0.35">
      <c r="A102" s="61"/>
      <c r="B102" s="62" t="s">
        <v>174</v>
      </c>
      <c r="C102" s="63">
        <v>5</v>
      </c>
      <c r="D102" s="8" t="s">
        <v>17</v>
      </c>
      <c r="E102" s="64" t="s">
        <v>27</v>
      </c>
      <c r="F102" s="64"/>
      <c r="G102" s="65"/>
      <c r="H102" s="64"/>
      <c r="I102" s="64"/>
      <c r="J102" s="8"/>
      <c r="K102" s="43"/>
      <c r="L102" s="43"/>
      <c r="M102" s="8"/>
      <c r="N102" s="85"/>
      <c r="O102" s="85"/>
      <c r="P102" s="85"/>
      <c r="Q102" s="85"/>
      <c r="R102" s="85"/>
      <c r="S102" s="85"/>
      <c r="T102" s="85"/>
      <c r="U102" s="67"/>
    </row>
    <row r="103" spans="1:21" x14ac:dyDescent="0.35">
      <c r="A103" s="61"/>
      <c r="B103" s="62" t="s">
        <v>23</v>
      </c>
      <c r="C103" s="63">
        <v>5</v>
      </c>
      <c r="D103" s="8"/>
      <c r="E103" s="64" t="s">
        <v>27</v>
      </c>
      <c r="F103" s="64"/>
      <c r="G103" s="65"/>
      <c r="H103" s="64"/>
      <c r="I103" s="64"/>
      <c r="J103" s="8"/>
      <c r="K103" s="43"/>
      <c r="L103" s="43"/>
      <c r="M103" s="8"/>
      <c r="N103" s="85"/>
      <c r="O103" s="85"/>
      <c r="P103" s="85"/>
      <c r="Q103" s="85"/>
      <c r="R103" s="85"/>
      <c r="S103" s="85"/>
      <c r="T103" s="85"/>
      <c r="U103" s="67"/>
    </row>
    <row r="104" spans="1:21" x14ac:dyDescent="0.35">
      <c r="A104" s="61"/>
      <c r="B104" s="62" t="s">
        <v>85</v>
      </c>
      <c r="C104" s="63">
        <v>5</v>
      </c>
      <c r="D104" s="8" t="s">
        <v>17</v>
      </c>
      <c r="E104" s="64" t="s">
        <v>27</v>
      </c>
      <c r="F104" s="64"/>
      <c r="G104" s="65"/>
      <c r="H104" s="64"/>
      <c r="I104" s="64"/>
      <c r="J104" s="8"/>
      <c r="K104" s="43"/>
      <c r="L104" s="43"/>
      <c r="M104" s="8"/>
      <c r="N104" s="85"/>
      <c r="O104" s="85"/>
      <c r="P104" s="85"/>
      <c r="Q104" s="85"/>
      <c r="R104" s="85"/>
      <c r="S104" s="85"/>
      <c r="T104" s="85"/>
      <c r="U104" s="67"/>
    </row>
    <row r="105" spans="1:21" x14ac:dyDescent="0.35">
      <c r="A105" s="61"/>
      <c r="B105" s="62" t="s">
        <v>175</v>
      </c>
      <c r="C105" s="63">
        <v>5</v>
      </c>
      <c r="D105" s="8" t="s">
        <v>17</v>
      </c>
      <c r="E105" s="64" t="s">
        <v>27</v>
      </c>
      <c r="F105" s="64"/>
      <c r="G105" s="65"/>
      <c r="H105" s="64"/>
      <c r="I105" s="64"/>
      <c r="J105" s="8"/>
      <c r="K105" s="43"/>
      <c r="L105" s="43"/>
      <c r="M105" s="8"/>
      <c r="N105" s="85"/>
      <c r="O105" s="85"/>
      <c r="P105" s="85"/>
      <c r="Q105" s="85"/>
      <c r="R105" s="85"/>
      <c r="S105" s="85"/>
      <c r="T105" s="85"/>
      <c r="U105" s="67"/>
    </row>
    <row r="106" spans="1:21" ht="42" x14ac:dyDescent="0.35">
      <c r="A106" s="61" t="s">
        <v>17</v>
      </c>
      <c r="B106" s="62" t="s">
        <v>137</v>
      </c>
      <c r="C106" s="63">
        <v>5</v>
      </c>
      <c r="D106" s="8" t="s">
        <v>17</v>
      </c>
      <c r="E106" s="64" t="s">
        <v>27</v>
      </c>
      <c r="F106" s="64"/>
      <c r="G106" s="65"/>
      <c r="H106" s="64"/>
      <c r="I106" s="64"/>
      <c r="J106" s="8"/>
      <c r="K106" s="43"/>
      <c r="L106" s="43"/>
      <c r="M106" s="8">
        <v>1</v>
      </c>
      <c r="N106" s="85"/>
      <c r="O106" s="85"/>
      <c r="P106" s="85"/>
      <c r="Q106" s="85"/>
      <c r="R106" s="85"/>
      <c r="S106" s="85"/>
      <c r="T106" s="85"/>
      <c r="U106" s="67"/>
    </row>
    <row r="107" spans="1:21" x14ac:dyDescent="0.35">
      <c r="A107" s="61" t="s">
        <v>17</v>
      </c>
      <c r="B107" s="62" t="s">
        <v>140</v>
      </c>
      <c r="C107" s="63">
        <v>5</v>
      </c>
      <c r="D107" s="8" t="s">
        <v>17</v>
      </c>
      <c r="E107" s="64" t="s">
        <v>27</v>
      </c>
      <c r="F107" s="64"/>
      <c r="G107" s="65"/>
      <c r="H107" s="64"/>
      <c r="I107" s="64"/>
      <c r="J107" s="8"/>
      <c r="K107" s="43"/>
      <c r="L107" s="43"/>
      <c r="M107" s="8"/>
      <c r="N107" s="85"/>
      <c r="O107" s="85"/>
      <c r="P107" s="85"/>
      <c r="Q107" s="85"/>
      <c r="R107" s="85"/>
      <c r="S107" s="85"/>
      <c r="T107" s="85"/>
      <c r="U107" s="67"/>
    </row>
    <row r="108" spans="1:21" x14ac:dyDescent="0.35">
      <c r="A108" s="61"/>
      <c r="B108" s="62" t="s">
        <v>101</v>
      </c>
      <c r="C108" s="63">
        <v>5</v>
      </c>
      <c r="D108" s="8" t="s">
        <v>133</v>
      </c>
      <c r="E108" s="64" t="s">
        <v>27</v>
      </c>
      <c r="F108" s="64"/>
      <c r="G108" s="65"/>
      <c r="H108" s="64"/>
      <c r="I108" s="64"/>
      <c r="J108" s="8"/>
      <c r="K108" s="43"/>
      <c r="L108" s="43"/>
      <c r="M108" s="8"/>
      <c r="N108" s="85"/>
      <c r="O108" s="85"/>
      <c r="P108" s="85"/>
      <c r="Q108" s="85"/>
      <c r="R108" s="85"/>
      <c r="S108" s="85"/>
      <c r="T108" s="85"/>
      <c r="U108" s="67"/>
    </row>
    <row r="109" spans="1:21" x14ac:dyDescent="0.35">
      <c r="A109" s="61"/>
      <c r="B109" s="87" t="s">
        <v>195</v>
      </c>
      <c r="C109" s="8"/>
      <c r="D109" s="58"/>
      <c r="E109" s="8"/>
      <c r="F109" s="153"/>
      <c r="G109" s="156"/>
      <c r="H109" s="153"/>
      <c r="I109" s="153"/>
      <c r="J109" s="146" t="s">
        <v>134</v>
      </c>
      <c r="K109" s="36"/>
      <c r="L109" s="36"/>
      <c r="M109" s="58"/>
      <c r="N109" s="85"/>
      <c r="O109" s="85"/>
      <c r="P109" s="85"/>
      <c r="Q109" s="85"/>
      <c r="R109" s="85"/>
      <c r="S109" s="85"/>
      <c r="T109" s="85"/>
      <c r="U109" s="4"/>
    </row>
    <row r="110" spans="1:21" x14ac:dyDescent="0.35">
      <c r="A110" s="61" t="s">
        <v>17</v>
      </c>
      <c r="B110" s="62" t="s">
        <v>141</v>
      </c>
      <c r="C110" s="63">
        <v>5</v>
      </c>
      <c r="D110" s="8" t="s">
        <v>17</v>
      </c>
      <c r="E110" s="64" t="s">
        <v>27</v>
      </c>
      <c r="F110" s="64"/>
      <c r="G110" s="65"/>
      <c r="H110" s="64"/>
      <c r="I110" s="64"/>
      <c r="J110" s="8"/>
      <c r="K110" s="43"/>
      <c r="L110" s="43"/>
      <c r="M110" s="8"/>
      <c r="N110" s="85"/>
      <c r="O110" s="85"/>
      <c r="P110" s="85"/>
      <c r="Q110" s="85"/>
      <c r="R110" s="85"/>
      <c r="S110" s="85"/>
      <c r="T110" s="85"/>
      <c r="U110" s="67"/>
    </row>
    <row r="111" spans="1:21" x14ac:dyDescent="0.35">
      <c r="A111" s="61" t="s">
        <v>17</v>
      </c>
      <c r="B111" s="62" t="s">
        <v>164</v>
      </c>
      <c r="C111" s="63">
        <v>5</v>
      </c>
      <c r="D111" s="8" t="s">
        <v>17</v>
      </c>
      <c r="E111" s="64" t="s">
        <v>27</v>
      </c>
      <c r="F111" s="64"/>
      <c r="G111" s="65"/>
      <c r="H111" s="64"/>
      <c r="I111" s="64"/>
      <c r="J111" s="8"/>
      <c r="K111" s="43"/>
      <c r="L111" s="43"/>
      <c r="M111" s="8"/>
      <c r="N111" s="85"/>
      <c r="O111" s="85"/>
      <c r="P111" s="85"/>
      <c r="Q111" s="85"/>
      <c r="R111" s="85"/>
      <c r="S111" s="85"/>
      <c r="T111" s="85"/>
      <c r="U111" s="67"/>
    </row>
    <row r="112" spans="1:21" x14ac:dyDescent="0.35">
      <c r="A112" s="61" t="s">
        <v>17</v>
      </c>
      <c r="B112" s="62" t="s">
        <v>146</v>
      </c>
      <c r="C112" s="63">
        <v>5</v>
      </c>
      <c r="D112" s="8" t="s">
        <v>17</v>
      </c>
      <c r="E112" s="64" t="s">
        <v>27</v>
      </c>
      <c r="F112" s="64"/>
      <c r="G112" s="65"/>
      <c r="H112" s="64"/>
      <c r="I112" s="64"/>
      <c r="J112" s="8"/>
      <c r="K112" s="43"/>
      <c r="L112" s="43"/>
      <c r="M112" s="8"/>
      <c r="N112" s="85"/>
      <c r="O112" s="85"/>
      <c r="P112" s="85"/>
      <c r="Q112" s="85"/>
      <c r="R112" s="85"/>
      <c r="S112" s="85"/>
      <c r="T112" s="85"/>
      <c r="U112" s="67"/>
    </row>
    <row r="113" spans="1:21" x14ac:dyDescent="0.35">
      <c r="A113" s="61" t="s">
        <v>17</v>
      </c>
      <c r="B113" s="62" t="s">
        <v>142</v>
      </c>
      <c r="C113" s="63">
        <v>5</v>
      </c>
      <c r="D113" s="8" t="s">
        <v>17</v>
      </c>
      <c r="E113" s="64" t="s">
        <v>27</v>
      </c>
      <c r="F113" s="64"/>
      <c r="G113" s="65"/>
      <c r="H113" s="64"/>
      <c r="I113" s="64"/>
      <c r="J113" s="8"/>
      <c r="K113" s="43"/>
      <c r="L113" s="43"/>
      <c r="M113" s="8"/>
      <c r="N113" s="85"/>
      <c r="O113" s="85"/>
      <c r="P113" s="85"/>
      <c r="Q113" s="85"/>
      <c r="R113" s="85"/>
      <c r="S113" s="85"/>
      <c r="T113" s="85"/>
      <c r="U113" s="67"/>
    </row>
    <row r="114" spans="1:21" x14ac:dyDescent="0.35">
      <c r="A114" s="61" t="s">
        <v>17</v>
      </c>
      <c r="B114" s="62" t="s">
        <v>143</v>
      </c>
      <c r="C114" s="63">
        <v>5</v>
      </c>
      <c r="D114" s="8" t="s">
        <v>17</v>
      </c>
      <c r="E114" s="64" t="s">
        <v>27</v>
      </c>
      <c r="F114" s="64"/>
      <c r="G114" s="65"/>
      <c r="H114" s="64"/>
      <c r="I114" s="64"/>
      <c r="J114" s="8"/>
      <c r="K114" s="43"/>
      <c r="L114" s="43"/>
      <c r="M114" s="8"/>
      <c r="N114" s="85"/>
      <c r="O114" s="85"/>
      <c r="P114" s="85"/>
      <c r="Q114" s="85"/>
      <c r="R114" s="85"/>
      <c r="S114" s="85"/>
      <c r="T114" s="85"/>
      <c r="U114" s="67"/>
    </row>
    <row r="115" spans="1:21" x14ac:dyDescent="0.35">
      <c r="A115" s="61" t="s">
        <v>17</v>
      </c>
      <c r="B115" s="62" t="s">
        <v>144</v>
      </c>
      <c r="C115" s="63">
        <v>5</v>
      </c>
      <c r="D115" s="8" t="s">
        <v>17</v>
      </c>
      <c r="E115" s="64" t="s">
        <v>27</v>
      </c>
      <c r="F115" s="64"/>
      <c r="G115" s="65"/>
      <c r="H115" s="64"/>
      <c r="I115" s="64"/>
      <c r="J115" s="8"/>
      <c r="K115" s="43"/>
      <c r="L115" s="43"/>
      <c r="M115" s="8"/>
      <c r="N115" s="85"/>
      <c r="O115" s="85"/>
      <c r="P115" s="85"/>
      <c r="Q115" s="85"/>
      <c r="R115" s="85"/>
      <c r="S115" s="85"/>
      <c r="T115" s="85"/>
      <c r="U115" s="67"/>
    </row>
    <row r="116" spans="1:21" x14ac:dyDescent="0.35">
      <c r="A116" s="61" t="s">
        <v>17</v>
      </c>
      <c r="B116" s="62" t="s">
        <v>165</v>
      </c>
      <c r="C116" s="63">
        <v>5</v>
      </c>
      <c r="D116" s="8" t="s">
        <v>17</v>
      </c>
      <c r="E116" s="64" t="s">
        <v>27</v>
      </c>
      <c r="F116" s="64"/>
      <c r="G116" s="65"/>
      <c r="H116" s="64"/>
      <c r="I116" s="64"/>
      <c r="J116" s="8"/>
      <c r="K116" s="43"/>
      <c r="L116" s="43"/>
      <c r="M116" s="8"/>
      <c r="N116" s="85"/>
      <c r="O116" s="85"/>
      <c r="P116" s="85"/>
      <c r="Q116" s="85"/>
      <c r="R116" s="85"/>
      <c r="S116" s="85"/>
      <c r="T116" s="85"/>
      <c r="U116" s="67"/>
    </row>
    <row r="117" spans="1:21" x14ac:dyDescent="0.35">
      <c r="A117" s="61" t="s">
        <v>17</v>
      </c>
      <c r="B117" s="62" t="s">
        <v>145</v>
      </c>
      <c r="C117" s="63">
        <v>5</v>
      </c>
      <c r="D117" s="8" t="s">
        <v>17</v>
      </c>
      <c r="E117" s="64" t="s">
        <v>27</v>
      </c>
      <c r="F117" s="64"/>
      <c r="G117" s="65"/>
      <c r="H117" s="64"/>
      <c r="I117" s="64"/>
      <c r="J117" s="8"/>
      <c r="K117" s="43"/>
      <c r="L117" s="43"/>
      <c r="M117" s="8"/>
      <c r="N117" s="85"/>
      <c r="O117" s="85"/>
      <c r="P117" s="85"/>
      <c r="Q117" s="85"/>
      <c r="R117" s="85"/>
      <c r="S117" s="85"/>
      <c r="T117" s="85"/>
      <c r="U117" s="67"/>
    </row>
    <row r="118" spans="1:21" x14ac:dyDescent="0.35">
      <c r="A118" s="61" t="s">
        <v>17</v>
      </c>
      <c r="B118" s="62" t="s">
        <v>167</v>
      </c>
      <c r="C118" s="63">
        <v>5</v>
      </c>
      <c r="D118" s="8" t="s">
        <v>17</v>
      </c>
      <c r="E118" s="64" t="s">
        <v>27</v>
      </c>
      <c r="F118" s="64"/>
      <c r="G118" s="65"/>
      <c r="H118" s="64"/>
      <c r="I118" s="64"/>
      <c r="J118" s="8"/>
      <c r="K118" s="43"/>
      <c r="L118" s="43"/>
      <c r="M118" s="8"/>
      <c r="N118" s="85"/>
      <c r="O118" s="85"/>
      <c r="P118" s="85"/>
      <c r="Q118" s="85"/>
      <c r="R118" s="85"/>
      <c r="S118" s="85"/>
      <c r="T118" s="85"/>
      <c r="U118" s="67"/>
    </row>
    <row r="119" spans="1:21" x14ac:dyDescent="0.35">
      <c r="A119" s="61" t="s">
        <v>17</v>
      </c>
      <c r="B119" s="62" t="s">
        <v>168</v>
      </c>
      <c r="C119" s="63">
        <v>5</v>
      </c>
      <c r="D119" s="8" t="s">
        <v>17</v>
      </c>
      <c r="E119" s="64" t="s">
        <v>27</v>
      </c>
      <c r="F119" s="64"/>
      <c r="G119" s="65"/>
      <c r="H119" s="64"/>
      <c r="I119" s="64"/>
      <c r="J119" s="8"/>
      <c r="K119" s="43"/>
      <c r="L119" s="43"/>
      <c r="M119" s="8"/>
      <c r="N119" s="85"/>
      <c r="O119" s="85"/>
      <c r="P119" s="85"/>
      <c r="Q119" s="85"/>
      <c r="R119" s="85"/>
      <c r="S119" s="85"/>
      <c r="T119" s="85"/>
      <c r="U119" s="67"/>
    </row>
    <row r="120" spans="1:21" ht="42" x14ac:dyDescent="0.35">
      <c r="A120" s="61"/>
      <c r="B120" s="62" t="s">
        <v>197</v>
      </c>
      <c r="C120" s="63">
        <v>5</v>
      </c>
      <c r="D120" s="8" t="s">
        <v>17</v>
      </c>
      <c r="E120" s="64" t="s">
        <v>27</v>
      </c>
      <c r="F120" s="64"/>
      <c r="G120" s="65"/>
      <c r="H120" s="64"/>
      <c r="I120" s="64"/>
      <c r="J120" s="8"/>
      <c r="K120" s="43"/>
      <c r="L120" s="43"/>
      <c r="M120" s="8"/>
      <c r="N120" s="85"/>
      <c r="O120" s="85"/>
      <c r="P120" s="85"/>
      <c r="Q120" s="85"/>
      <c r="R120" s="85"/>
      <c r="S120" s="85"/>
      <c r="T120" s="85"/>
      <c r="U120" s="67"/>
    </row>
    <row r="121" spans="1:21" x14ac:dyDescent="0.35">
      <c r="A121" s="61" t="s">
        <v>17</v>
      </c>
      <c r="B121" s="62" t="s">
        <v>169</v>
      </c>
      <c r="C121" s="63">
        <v>5</v>
      </c>
      <c r="D121" s="8" t="s">
        <v>17</v>
      </c>
      <c r="E121" s="64" t="s">
        <v>27</v>
      </c>
      <c r="F121" s="64"/>
      <c r="G121" s="65"/>
      <c r="H121" s="64"/>
      <c r="I121" s="64"/>
      <c r="J121" s="8"/>
      <c r="K121" s="43"/>
      <c r="L121" s="43"/>
      <c r="M121" s="8"/>
      <c r="N121" s="85"/>
      <c r="O121" s="85"/>
      <c r="P121" s="85"/>
      <c r="Q121" s="85"/>
      <c r="R121" s="85"/>
      <c r="S121" s="85"/>
      <c r="T121" s="85"/>
      <c r="U121" s="67"/>
    </row>
    <row r="122" spans="1:21" x14ac:dyDescent="0.35">
      <c r="A122" s="61"/>
      <c r="B122" s="87" t="s">
        <v>48</v>
      </c>
      <c r="C122" s="63"/>
      <c r="D122" s="146" t="s">
        <v>134</v>
      </c>
      <c r="E122" s="64"/>
      <c r="F122" s="64"/>
      <c r="G122" s="65"/>
      <c r="H122" s="64"/>
      <c r="I122" s="64"/>
      <c r="J122" s="8"/>
      <c r="K122" s="43"/>
      <c r="L122" s="43"/>
      <c r="M122" s="8"/>
      <c r="N122" s="85"/>
      <c r="O122" s="85"/>
      <c r="P122" s="85"/>
      <c r="Q122" s="85"/>
      <c r="R122" s="85"/>
      <c r="S122" s="85"/>
      <c r="T122" s="85"/>
      <c r="U122" s="67"/>
    </row>
    <row r="123" spans="1:21" x14ac:dyDescent="0.35">
      <c r="A123" s="61"/>
      <c r="B123" s="62" t="s">
        <v>20</v>
      </c>
      <c r="C123" s="63">
        <v>6</v>
      </c>
      <c r="D123" s="8" t="s">
        <v>17</v>
      </c>
      <c r="E123" s="64" t="s">
        <v>26</v>
      </c>
      <c r="F123" s="64"/>
      <c r="G123" s="65"/>
      <c r="H123" s="64"/>
      <c r="I123" s="64"/>
      <c r="J123" s="8"/>
      <c r="K123" s="43"/>
      <c r="L123" s="43"/>
      <c r="M123" s="8"/>
      <c r="N123" s="85"/>
      <c r="O123" s="85"/>
      <c r="P123" s="85"/>
      <c r="Q123" s="85"/>
      <c r="R123" s="85"/>
      <c r="S123" s="85"/>
      <c r="T123" s="85"/>
      <c r="U123" s="67"/>
    </row>
    <row r="124" spans="1:21" x14ac:dyDescent="0.35">
      <c r="A124" s="61"/>
      <c r="B124" s="62" t="s">
        <v>21</v>
      </c>
      <c r="C124" s="63">
        <v>6</v>
      </c>
      <c r="D124" s="66"/>
      <c r="E124" s="64" t="s">
        <v>26</v>
      </c>
      <c r="F124" s="64"/>
      <c r="G124" s="65"/>
      <c r="H124" s="64"/>
      <c r="I124" s="64"/>
      <c r="J124" s="8"/>
      <c r="K124" s="43"/>
      <c r="L124" s="43"/>
      <c r="M124" s="8"/>
      <c r="N124" s="85"/>
      <c r="O124" s="85"/>
      <c r="P124" s="85"/>
      <c r="Q124" s="85"/>
      <c r="R124" s="85"/>
      <c r="S124" s="85"/>
      <c r="T124" s="85"/>
      <c r="U124" s="67"/>
    </row>
    <row r="125" spans="1:21" x14ac:dyDescent="0.35">
      <c r="A125" s="61" t="s">
        <v>17</v>
      </c>
      <c r="B125" s="62" t="s">
        <v>103</v>
      </c>
      <c r="C125" s="63">
        <v>6</v>
      </c>
      <c r="D125" s="66" t="s">
        <v>17</v>
      </c>
      <c r="E125" s="64" t="s">
        <v>26</v>
      </c>
      <c r="F125" s="64"/>
      <c r="G125" s="65"/>
      <c r="H125" s="64"/>
      <c r="I125" s="64"/>
      <c r="J125" s="8"/>
      <c r="K125" s="43"/>
      <c r="L125" s="43"/>
      <c r="M125" s="8"/>
      <c r="N125" s="85"/>
      <c r="O125" s="85"/>
      <c r="P125" s="85"/>
      <c r="Q125" s="85"/>
      <c r="R125" s="85"/>
      <c r="S125" s="85"/>
      <c r="T125" s="85"/>
      <c r="U125" s="67"/>
    </row>
    <row r="126" spans="1:21" x14ac:dyDescent="0.35">
      <c r="A126" s="61" t="s">
        <v>17</v>
      </c>
      <c r="B126" s="62" t="s">
        <v>46</v>
      </c>
      <c r="C126" s="63">
        <v>6</v>
      </c>
      <c r="D126" s="66" t="s">
        <v>17</v>
      </c>
      <c r="E126" s="64" t="s">
        <v>26</v>
      </c>
      <c r="F126" s="64"/>
      <c r="G126" s="65"/>
      <c r="H126" s="64"/>
      <c r="I126" s="64"/>
      <c r="J126" s="8"/>
      <c r="K126" s="43"/>
      <c r="L126" s="43"/>
      <c r="M126" s="8"/>
      <c r="N126" s="85"/>
      <c r="O126" s="85"/>
      <c r="P126" s="85"/>
      <c r="Q126" s="85"/>
      <c r="R126" s="85"/>
      <c r="S126" s="85"/>
      <c r="T126" s="85"/>
      <c r="U126" s="67"/>
    </row>
    <row r="127" spans="1:21" x14ac:dyDescent="0.35">
      <c r="A127" s="61"/>
      <c r="B127" s="62" t="s">
        <v>109</v>
      </c>
      <c r="C127" s="63">
        <v>6</v>
      </c>
      <c r="D127" s="66" t="s">
        <v>17</v>
      </c>
      <c r="E127" s="64" t="s">
        <v>110</v>
      </c>
      <c r="F127" s="64"/>
      <c r="G127" s="65"/>
      <c r="H127" s="64"/>
      <c r="I127" s="64"/>
      <c r="J127" s="8"/>
      <c r="K127" s="43"/>
      <c r="L127" s="43"/>
      <c r="M127" s="8"/>
      <c r="N127" s="85"/>
      <c r="O127" s="85"/>
      <c r="P127" s="85"/>
      <c r="Q127" s="85"/>
      <c r="R127" s="85"/>
      <c r="S127" s="85"/>
      <c r="T127" s="85"/>
      <c r="U127" s="67"/>
    </row>
    <row r="128" spans="1:21" x14ac:dyDescent="0.35">
      <c r="A128" s="61"/>
      <c r="B128" s="62" t="s">
        <v>33</v>
      </c>
      <c r="C128" s="63">
        <v>6</v>
      </c>
      <c r="D128" s="8"/>
      <c r="E128" s="64" t="s">
        <v>26</v>
      </c>
      <c r="F128" s="64"/>
      <c r="G128" s="65"/>
      <c r="H128" s="64"/>
      <c r="I128" s="64"/>
      <c r="J128" s="8"/>
      <c r="K128" s="43"/>
      <c r="L128" s="43"/>
      <c r="M128" s="8"/>
      <c r="N128" s="85"/>
      <c r="O128" s="85"/>
      <c r="P128" s="85"/>
      <c r="Q128" s="85"/>
      <c r="R128" s="85"/>
      <c r="S128" s="85"/>
      <c r="T128" s="85"/>
      <c r="U128" s="67"/>
    </row>
    <row r="129" spans="1:21" ht="42" x14ac:dyDescent="0.35">
      <c r="A129" s="61"/>
      <c r="B129" s="70" t="s">
        <v>99</v>
      </c>
      <c r="C129" s="63">
        <v>6</v>
      </c>
      <c r="D129" s="8"/>
      <c r="E129" s="64" t="s">
        <v>26</v>
      </c>
      <c r="F129" s="64"/>
      <c r="G129" s="65"/>
      <c r="H129" s="64"/>
      <c r="I129" s="64"/>
      <c r="J129" s="8"/>
      <c r="K129" s="43"/>
      <c r="L129" s="43"/>
      <c r="M129" s="8"/>
      <c r="N129" s="85"/>
      <c r="O129" s="85"/>
      <c r="P129" s="85"/>
      <c r="Q129" s="85"/>
      <c r="R129" s="85"/>
      <c r="S129" s="85"/>
      <c r="T129" s="85"/>
      <c r="U129" s="67"/>
    </row>
    <row r="130" spans="1:21" x14ac:dyDescent="0.35">
      <c r="A130" s="61" t="s">
        <v>17</v>
      </c>
      <c r="B130" s="62" t="s">
        <v>47</v>
      </c>
      <c r="C130" s="63">
        <v>6</v>
      </c>
      <c r="D130" s="8" t="s">
        <v>17</v>
      </c>
      <c r="E130" s="64" t="s">
        <v>26</v>
      </c>
      <c r="F130" s="64"/>
      <c r="G130" s="65"/>
      <c r="H130" s="64"/>
      <c r="I130" s="64"/>
      <c r="J130" s="8"/>
      <c r="K130" s="43"/>
      <c r="L130" s="43"/>
      <c r="M130" s="8"/>
      <c r="N130" s="85"/>
      <c r="O130" s="85"/>
      <c r="P130" s="85"/>
      <c r="Q130" s="85"/>
      <c r="R130" s="85"/>
      <c r="S130" s="85"/>
      <c r="T130" s="85"/>
      <c r="U130" s="67"/>
    </row>
    <row r="131" spans="1:21" x14ac:dyDescent="0.35">
      <c r="A131" s="61"/>
      <c r="B131" s="62" t="s">
        <v>111</v>
      </c>
      <c r="C131" s="63">
        <v>6</v>
      </c>
      <c r="D131" s="8" t="s">
        <v>17</v>
      </c>
      <c r="E131" s="64" t="s">
        <v>110</v>
      </c>
      <c r="F131" s="64"/>
      <c r="G131" s="65"/>
      <c r="H131" s="64"/>
      <c r="I131" s="64"/>
      <c r="J131" s="8"/>
      <c r="K131" s="43"/>
      <c r="L131" s="43"/>
      <c r="M131" s="8"/>
      <c r="N131" s="85"/>
      <c r="O131" s="85"/>
      <c r="P131" s="85"/>
      <c r="Q131" s="85"/>
      <c r="R131" s="85"/>
      <c r="S131" s="85"/>
      <c r="T131" s="85"/>
      <c r="U131" s="67"/>
    </row>
    <row r="132" spans="1:21" x14ac:dyDescent="0.35">
      <c r="A132" s="61"/>
      <c r="B132" s="62" t="s">
        <v>100</v>
      </c>
      <c r="C132" s="63">
        <v>6</v>
      </c>
      <c r="D132" s="8" t="s">
        <v>17</v>
      </c>
      <c r="E132" s="64" t="s">
        <v>26</v>
      </c>
      <c r="F132" s="64"/>
      <c r="G132" s="65"/>
      <c r="H132" s="64"/>
      <c r="I132" s="64"/>
      <c r="J132" s="8"/>
      <c r="K132" s="43"/>
      <c r="L132" s="43"/>
      <c r="M132" s="8"/>
      <c r="N132" s="85"/>
      <c r="O132" s="85"/>
      <c r="P132" s="85"/>
      <c r="Q132" s="85"/>
      <c r="R132" s="85"/>
      <c r="S132" s="85"/>
      <c r="T132" s="85"/>
      <c r="U132" s="67"/>
    </row>
    <row r="133" spans="1:21" x14ac:dyDescent="0.35">
      <c r="A133" s="61"/>
      <c r="B133" s="62" t="s">
        <v>32</v>
      </c>
      <c r="C133" s="63">
        <v>6</v>
      </c>
      <c r="D133" s="8"/>
      <c r="E133" s="64" t="s">
        <v>26</v>
      </c>
      <c r="F133" s="64"/>
      <c r="G133" s="65"/>
      <c r="H133" s="64"/>
      <c r="I133" s="64"/>
      <c r="J133" s="8"/>
      <c r="K133" s="43"/>
      <c r="L133" s="43"/>
      <c r="M133" s="8"/>
      <c r="N133" s="85"/>
      <c r="O133" s="85"/>
      <c r="P133" s="85"/>
      <c r="Q133" s="85"/>
      <c r="R133" s="85"/>
      <c r="S133" s="85"/>
      <c r="T133" s="85"/>
      <c r="U133" s="67"/>
    </row>
    <row r="134" spans="1:21" x14ac:dyDescent="0.35">
      <c r="A134" s="61"/>
      <c r="B134" s="62" t="s">
        <v>160</v>
      </c>
      <c r="C134" s="63">
        <v>6</v>
      </c>
      <c r="D134" s="8" t="s">
        <v>17</v>
      </c>
      <c r="E134" s="64" t="s">
        <v>26</v>
      </c>
      <c r="F134" s="64"/>
      <c r="G134" s="65"/>
      <c r="H134" s="64"/>
      <c r="I134" s="64"/>
      <c r="J134" s="8"/>
      <c r="K134" s="43"/>
      <c r="L134" s="43"/>
      <c r="M134" s="8"/>
      <c r="N134" s="85"/>
      <c r="O134" s="85"/>
      <c r="P134" s="85"/>
      <c r="Q134" s="85"/>
      <c r="R134" s="85"/>
      <c r="S134" s="85"/>
      <c r="T134" s="85"/>
      <c r="U134" s="67"/>
    </row>
    <row r="135" spans="1:21" x14ac:dyDescent="0.35">
      <c r="A135" s="61" t="s">
        <v>17</v>
      </c>
      <c r="B135" s="62" t="s">
        <v>159</v>
      </c>
      <c r="C135" s="63">
        <v>6</v>
      </c>
      <c r="D135" s="8" t="s">
        <v>17</v>
      </c>
      <c r="E135" s="64" t="s">
        <v>26</v>
      </c>
      <c r="F135" s="64"/>
      <c r="G135" s="65"/>
      <c r="H135" s="64"/>
      <c r="I135" s="64"/>
      <c r="J135" s="8"/>
      <c r="K135" s="43"/>
      <c r="L135" s="43"/>
      <c r="M135" s="8"/>
      <c r="N135" s="85"/>
      <c r="O135" s="85"/>
      <c r="P135" s="85"/>
      <c r="Q135" s="85"/>
      <c r="R135" s="85"/>
      <c r="S135" s="85"/>
      <c r="T135" s="85"/>
      <c r="U135" s="67"/>
    </row>
    <row r="136" spans="1:21" x14ac:dyDescent="0.35">
      <c r="A136" s="61" t="s">
        <v>17</v>
      </c>
      <c r="B136" s="62" t="s">
        <v>183</v>
      </c>
      <c r="C136" s="63">
        <v>6</v>
      </c>
      <c r="D136" s="8" t="s">
        <v>17</v>
      </c>
      <c r="E136" s="64" t="s">
        <v>110</v>
      </c>
      <c r="F136" s="64"/>
      <c r="G136" s="65"/>
      <c r="H136" s="64"/>
      <c r="I136" s="64"/>
      <c r="J136" s="8"/>
      <c r="K136" s="43"/>
      <c r="L136" s="43"/>
      <c r="M136" s="8"/>
      <c r="N136" s="85"/>
      <c r="O136" s="85"/>
      <c r="P136" s="85"/>
      <c r="Q136" s="85"/>
      <c r="R136" s="85"/>
      <c r="S136" s="85"/>
      <c r="T136" s="85"/>
      <c r="U136" s="67"/>
    </row>
    <row r="137" spans="1:21" x14ac:dyDescent="0.35">
      <c r="A137" s="61"/>
      <c r="B137" s="62" t="s">
        <v>31</v>
      </c>
      <c r="C137" s="63">
        <v>6</v>
      </c>
      <c r="D137" s="8" t="s">
        <v>17</v>
      </c>
      <c r="E137" s="64" t="s">
        <v>26</v>
      </c>
      <c r="F137" s="64"/>
      <c r="G137" s="65"/>
      <c r="H137" s="64"/>
      <c r="I137" s="64"/>
      <c r="J137" s="8"/>
      <c r="K137" s="43"/>
      <c r="L137" s="43"/>
      <c r="M137" s="8"/>
      <c r="N137" s="85"/>
      <c r="O137" s="85"/>
      <c r="P137" s="85"/>
      <c r="Q137" s="85"/>
      <c r="R137" s="85"/>
      <c r="S137" s="85"/>
      <c r="T137" s="85"/>
      <c r="U137" s="67"/>
    </row>
    <row r="138" spans="1:21" x14ac:dyDescent="0.35">
      <c r="A138" s="61" t="s">
        <v>17</v>
      </c>
      <c r="B138" s="62" t="s">
        <v>22</v>
      </c>
      <c r="C138" s="63">
        <v>6</v>
      </c>
      <c r="D138" s="8" t="s">
        <v>17</v>
      </c>
      <c r="E138" s="64" t="s">
        <v>26</v>
      </c>
      <c r="F138" s="64"/>
      <c r="G138" s="65"/>
      <c r="H138" s="64"/>
      <c r="I138" s="64"/>
      <c r="J138" s="8"/>
      <c r="K138" s="43"/>
      <c r="L138" s="43"/>
      <c r="M138" s="8"/>
      <c r="N138" s="85"/>
      <c r="O138" s="85"/>
      <c r="P138" s="85"/>
      <c r="Q138" s="85"/>
      <c r="R138" s="85"/>
      <c r="S138" s="85"/>
      <c r="T138" s="85"/>
      <c r="U138" s="67"/>
    </row>
    <row r="139" spans="1:21" x14ac:dyDescent="0.35">
      <c r="A139" s="61" t="s">
        <v>17</v>
      </c>
      <c r="B139" s="62" t="s">
        <v>184</v>
      </c>
      <c r="C139" s="63">
        <v>6</v>
      </c>
      <c r="D139" s="8" t="s">
        <v>17</v>
      </c>
      <c r="E139" s="64" t="s">
        <v>26</v>
      </c>
      <c r="F139" s="64"/>
      <c r="G139" s="65"/>
      <c r="H139" s="64"/>
      <c r="I139" s="64"/>
      <c r="J139" s="8"/>
      <c r="K139" s="43"/>
      <c r="L139" s="43"/>
      <c r="M139" s="8"/>
      <c r="N139" s="85"/>
      <c r="O139" s="85"/>
      <c r="P139" s="85"/>
      <c r="Q139" s="85"/>
      <c r="R139" s="85"/>
      <c r="S139" s="85"/>
      <c r="T139" s="85"/>
      <c r="U139" s="67"/>
    </row>
    <row r="140" spans="1:21" x14ac:dyDescent="0.35">
      <c r="A140" s="61"/>
      <c r="B140" s="87" t="s">
        <v>196</v>
      </c>
      <c r="C140" s="8"/>
      <c r="D140" s="53"/>
      <c r="E140" s="8"/>
      <c r="F140" s="153"/>
      <c r="G140" s="156"/>
      <c r="H140" s="153"/>
      <c r="I140" s="153"/>
      <c r="J140" s="146" t="s">
        <v>134</v>
      </c>
      <c r="K140" s="36"/>
      <c r="L140" s="36"/>
      <c r="M140" s="58"/>
      <c r="N140" s="85"/>
      <c r="O140" s="85"/>
      <c r="P140" s="85"/>
      <c r="Q140" s="85"/>
      <c r="R140" s="85"/>
      <c r="S140" s="85"/>
      <c r="T140" s="85"/>
      <c r="U140" s="4"/>
    </row>
    <row r="141" spans="1:21" x14ac:dyDescent="0.35">
      <c r="A141" s="61"/>
      <c r="B141" s="62" t="s">
        <v>166</v>
      </c>
      <c r="C141" s="63">
        <v>5</v>
      </c>
      <c r="D141" s="8" t="s">
        <v>17</v>
      </c>
      <c r="E141" s="64" t="s">
        <v>27</v>
      </c>
      <c r="F141" s="64"/>
      <c r="G141" s="65"/>
      <c r="H141" s="64"/>
      <c r="I141" s="64"/>
      <c r="J141" s="8"/>
      <c r="K141" s="43"/>
      <c r="L141" s="43"/>
      <c r="M141" s="8"/>
      <c r="N141" s="85"/>
      <c r="O141" s="85"/>
      <c r="P141" s="85"/>
      <c r="Q141" s="85"/>
      <c r="R141" s="85"/>
      <c r="S141" s="85"/>
      <c r="T141" s="85"/>
      <c r="U141" s="67"/>
    </row>
    <row r="142" spans="1:21" x14ac:dyDescent="0.35">
      <c r="A142" s="61" t="s">
        <v>17</v>
      </c>
      <c r="B142" s="62" t="s">
        <v>123</v>
      </c>
      <c r="C142" s="63">
        <v>5</v>
      </c>
      <c r="D142" s="8" t="s">
        <v>17</v>
      </c>
      <c r="E142" s="64" t="s">
        <v>27</v>
      </c>
      <c r="F142" s="64"/>
      <c r="G142" s="65"/>
      <c r="H142" s="64"/>
      <c r="I142" s="64"/>
      <c r="J142" s="8"/>
      <c r="K142" s="43"/>
      <c r="L142" s="43"/>
      <c r="M142" s="8"/>
      <c r="N142" s="85"/>
      <c r="O142" s="85"/>
      <c r="P142" s="85"/>
      <c r="Q142" s="85"/>
      <c r="R142" s="85"/>
      <c r="S142" s="85"/>
      <c r="T142" s="85"/>
      <c r="U142" s="67"/>
    </row>
    <row r="143" spans="1:21" x14ac:dyDescent="0.35">
      <c r="A143" s="61"/>
      <c r="B143" s="87" t="s">
        <v>128</v>
      </c>
      <c r="C143" s="63"/>
      <c r="D143" s="146" t="s">
        <v>134</v>
      </c>
      <c r="E143" s="64"/>
      <c r="F143" s="64"/>
      <c r="G143" s="65"/>
      <c r="H143" s="64"/>
      <c r="I143" s="64"/>
      <c r="J143" s="8"/>
      <c r="K143" s="43"/>
      <c r="L143" s="43"/>
      <c r="M143" s="8"/>
      <c r="N143" s="85"/>
      <c r="O143" s="85"/>
      <c r="P143" s="85"/>
      <c r="Q143" s="85"/>
      <c r="R143" s="85"/>
      <c r="S143" s="85"/>
      <c r="T143" s="85"/>
      <c r="U143" s="67"/>
    </row>
    <row r="144" spans="1:21" x14ac:dyDescent="0.35">
      <c r="A144" s="61" t="s">
        <v>17</v>
      </c>
      <c r="B144" s="105" t="s">
        <v>161</v>
      </c>
      <c r="C144" s="63">
        <v>8</v>
      </c>
      <c r="D144" s="8" t="s">
        <v>17</v>
      </c>
      <c r="E144" s="64" t="s">
        <v>162</v>
      </c>
      <c r="F144" s="64"/>
      <c r="G144" s="65"/>
      <c r="H144" s="64"/>
      <c r="I144" s="64"/>
      <c r="J144" s="8"/>
      <c r="K144" s="43"/>
      <c r="L144" s="43"/>
      <c r="M144" s="8"/>
      <c r="N144" s="85"/>
      <c r="O144" s="85"/>
      <c r="P144" s="85"/>
      <c r="Q144" s="85"/>
      <c r="R144" s="85"/>
      <c r="S144" s="85"/>
      <c r="T144" s="85"/>
      <c r="U144" s="67"/>
    </row>
    <row r="145" spans="1:21" x14ac:dyDescent="0.35">
      <c r="A145" s="61" t="s">
        <v>17</v>
      </c>
      <c r="B145" s="105" t="s">
        <v>163</v>
      </c>
      <c r="C145" s="63">
        <v>8</v>
      </c>
      <c r="D145" s="8" t="s">
        <v>17</v>
      </c>
      <c r="E145" s="64" t="s">
        <v>162</v>
      </c>
      <c r="F145" s="64"/>
      <c r="G145" s="65"/>
      <c r="H145" s="64"/>
      <c r="I145" s="64"/>
      <c r="J145" s="8"/>
      <c r="K145" s="43"/>
      <c r="L145" s="43"/>
      <c r="M145" s="8"/>
      <c r="N145" s="85"/>
      <c r="O145" s="85"/>
      <c r="P145" s="85"/>
      <c r="Q145" s="85"/>
      <c r="R145" s="85"/>
      <c r="S145" s="85"/>
      <c r="T145" s="85"/>
      <c r="U145" s="67"/>
    </row>
    <row r="146" spans="1:21" x14ac:dyDescent="0.35">
      <c r="A146" s="61" t="s">
        <v>17</v>
      </c>
      <c r="B146" s="62" t="s">
        <v>89</v>
      </c>
      <c r="C146" s="63">
        <v>7</v>
      </c>
      <c r="D146" s="8" t="s">
        <v>17</v>
      </c>
      <c r="E146" s="64" t="s">
        <v>24</v>
      </c>
      <c r="F146" s="64"/>
      <c r="G146" s="65"/>
      <c r="H146" s="64"/>
      <c r="I146" s="64"/>
      <c r="J146" s="8"/>
      <c r="K146" s="43"/>
      <c r="L146" s="43"/>
      <c r="M146" s="8"/>
      <c r="N146" s="85"/>
      <c r="O146" s="85"/>
      <c r="P146" s="85"/>
      <c r="Q146" s="85"/>
      <c r="R146" s="85"/>
      <c r="S146" s="85"/>
      <c r="T146" s="85"/>
      <c r="U146" s="67"/>
    </row>
    <row r="147" spans="1:21" x14ac:dyDescent="0.35">
      <c r="A147" s="61" t="s">
        <v>17</v>
      </c>
      <c r="B147" s="62" t="s">
        <v>117</v>
      </c>
      <c r="C147" s="63">
        <v>5</v>
      </c>
      <c r="D147" s="8" t="s">
        <v>17</v>
      </c>
      <c r="E147" s="64" t="s">
        <v>27</v>
      </c>
      <c r="F147" s="64"/>
      <c r="G147" s="65"/>
      <c r="H147" s="64"/>
      <c r="I147" s="64"/>
      <c r="J147" s="8"/>
      <c r="K147" s="43"/>
      <c r="L147" s="43"/>
      <c r="M147" s="8"/>
      <c r="N147" s="85"/>
      <c r="O147" s="85"/>
      <c r="P147" s="85"/>
      <c r="Q147" s="85"/>
      <c r="R147" s="85"/>
      <c r="S147" s="85"/>
      <c r="T147" s="85"/>
      <c r="U147" s="67"/>
    </row>
    <row r="148" spans="1:21" x14ac:dyDescent="0.35">
      <c r="A148" s="61"/>
      <c r="B148" s="62" t="s">
        <v>158</v>
      </c>
      <c r="C148" s="63">
        <v>5</v>
      </c>
      <c r="D148" s="8" t="s">
        <v>17</v>
      </c>
      <c r="E148" s="64" t="s">
        <v>27</v>
      </c>
      <c r="F148" s="64"/>
      <c r="G148" s="65"/>
      <c r="H148" s="64"/>
      <c r="I148" s="64"/>
      <c r="J148" s="8"/>
      <c r="K148" s="43"/>
      <c r="L148" s="43"/>
      <c r="M148" s="8"/>
      <c r="N148" s="85"/>
      <c r="O148" s="85"/>
      <c r="P148" s="85"/>
      <c r="Q148" s="85"/>
      <c r="R148" s="85"/>
      <c r="S148" s="85"/>
      <c r="T148" s="85"/>
      <c r="U148" s="67"/>
    </row>
    <row r="149" spans="1:21" x14ac:dyDescent="0.35">
      <c r="A149" s="61"/>
      <c r="B149" s="62" t="s">
        <v>19</v>
      </c>
      <c r="C149" s="63">
        <v>7</v>
      </c>
      <c r="D149" s="8" t="s">
        <v>17</v>
      </c>
      <c r="E149" s="64" t="s">
        <v>24</v>
      </c>
      <c r="F149" s="64"/>
      <c r="G149" s="65"/>
      <c r="H149" s="64"/>
      <c r="I149" s="64"/>
      <c r="J149" s="8"/>
      <c r="K149" s="43"/>
      <c r="L149" s="43"/>
      <c r="M149" s="8"/>
      <c r="N149" s="85"/>
      <c r="O149" s="85"/>
      <c r="P149" s="85"/>
      <c r="Q149" s="85"/>
      <c r="R149" s="85"/>
      <c r="S149" s="85"/>
      <c r="T149" s="85"/>
      <c r="U149" s="67"/>
    </row>
    <row r="150" spans="1:21" ht="21.6" thickBot="1" x14ac:dyDescent="0.4">
      <c r="A150" s="75" t="s">
        <v>17</v>
      </c>
      <c r="B150" s="76" t="s">
        <v>38</v>
      </c>
      <c r="C150" s="77">
        <v>9</v>
      </c>
      <c r="D150" s="81" t="s">
        <v>17</v>
      </c>
      <c r="E150" s="78" t="s">
        <v>28</v>
      </c>
      <c r="F150" s="78"/>
      <c r="G150" s="157"/>
      <c r="H150" s="78"/>
      <c r="I150" s="78"/>
      <c r="J150" s="79"/>
      <c r="K150" s="80"/>
      <c r="L150" s="80"/>
      <c r="M150" s="79"/>
      <c r="N150" s="85"/>
      <c r="O150" s="85"/>
      <c r="P150" s="85"/>
      <c r="Q150" s="85"/>
      <c r="R150" s="85"/>
      <c r="S150" s="85"/>
      <c r="T150" s="85"/>
      <c r="U150" s="82"/>
    </row>
    <row r="151" spans="1:21" x14ac:dyDescent="0.3">
      <c r="A151" s="97"/>
      <c r="B151" s="98"/>
      <c r="C151" s="99"/>
      <c r="D151" s="102"/>
      <c r="E151" s="100"/>
      <c r="F151" s="100"/>
      <c r="G151" s="158"/>
      <c r="H151" s="100"/>
      <c r="I151" s="100"/>
      <c r="J151" s="39"/>
      <c r="K151" s="101"/>
      <c r="L151" s="101"/>
      <c r="M151" s="39"/>
      <c r="N151" s="103"/>
      <c r="O151" s="104"/>
      <c r="P151" s="56"/>
      <c r="Q151" s="56"/>
      <c r="R151" s="56"/>
      <c r="S151" s="56"/>
      <c r="T151" s="56"/>
      <c r="U151" s="39"/>
    </row>
    <row r="152" spans="1:21" x14ac:dyDescent="0.3">
      <c r="A152" s="97"/>
      <c r="B152" s="98"/>
      <c r="C152" s="99"/>
      <c r="D152" s="102"/>
      <c r="E152" s="100"/>
      <c r="F152" s="100"/>
      <c r="G152" s="158"/>
      <c r="H152" s="100"/>
      <c r="I152" s="100"/>
      <c r="J152" s="39"/>
      <c r="K152" s="101"/>
      <c r="L152" s="101"/>
      <c r="M152" s="39"/>
      <c r="N152" s="103"/>
      <c r="O152" s="104"/>
      <c r="P152" s="56"/>
      <c r="Q152" s="56"/>
      <c r="R152" s="56"/>
      <c r="S152" s="56"/>
      <c r="T152" s="56"/>
      <c r="U152" s="39"/>
    </row>
    <row r="153" spans="1:21" x14ac:dyDescent="0.3">
      <c r="A153" s="49"/>
      <c r="B153" s="50"/>
      <c r="C153" s="11" t="s">
        <v>155</v>
      </c>
      <c r="D153" s="52"/>
      <c r="E153" s="12"/>
      <c r="F153" s="12"/>
      <c r="G153" s="44"/>
      <c r="H153" s="12"/>
      <c r="I153" s="12"/>
      <c r="J153" s="14"/>
      <c r="K153" s="51"/>
      <c r="L153" s="51"/>
      <c r="M153" s="14"/>
      <c r="N153" s="15"/>
      <c r="O153" s="39"/>
      <c r="P153" s="14"/>
      <c r="Q153" s="39"/>
      <c r="R153" s="39"/>
      <c r="S153" s="39"/>
      <c r="T153" s="39"/>
      <c r="U153" s="14"/>
    </row>
    <row r="154" spans="1:21" x14ac:dyDescent="0.3">
      <c r="A154" s="49">
        <f>COUNTIF(A9:A150,"=Yes")</f>
        <v>50</v>
      </c>
      <c r="B154" s="50"/>
      <c r="C154" s="11" t="s">
        <v>148</v>
      </c>
      <c r="D154" s="49">
        <f>COUNTIF(D8:D150,"=Yes")</f>
        <v>87</v>
      </c>
      <c r="E154" s="89"/>
      <c r="F154" s="89"/>
      <c r="G154" s="89"/>
      <c r="H154" s="89"/>
      <c r="I154" s="89"/>
      <c r="J154" s="89">
        <f>SUMIFS(J8:J150,D8:D150,"=Yes")</f>
        <v>9608</v>
      </c>
      <c r="K154" s="89">
        <f>SUMIFS(K8:K150,D8:D150,"=Yes")</f>
        <v>497641</v>
      </c>
      <c r="L154" s="89"/>
      <c r="M154" s="13">
        <f>SUMIFS(M8:M150,D8:D150,"=Yes")</f>
        <v>745</v>
      </c>
      <c r="N154" s="84">
        <f t="shared" ref="N154:T154" si="0">COUNTIF(N8:N150,"=Operational")</f>
        <v>0</v>
      </c>
      <c r="O154" s="84">
        <f t="shared" si="0"/>
        <v>0</v>
      </c>
      <c r="P154" s="84">
        <f t="shared" si="0"/>
        <v>0</v>
      </c>
      <c r="Q154" s="84">
        <f t="shared" si="0"/>
        <v>0</v>
      </c>
      <c r="R154" s="84">
        <f t="shared" si="0"/>
        <v>0</v>
      </c>
      <c r="S154" s="84">
        <f t="shared" si="0"/>
        <v>0</v>
      </c>
      <c r="T154" s="84">
        <f t="shared" si="0"/>
        <v>0</v>
      </c>
      <c r="U154" s="14"/>
    </row>
    <row r="155" spans="1:21" ht="25.8" x14ac:dyDescent="0.3">
      <c r="A155" s="18"/>
      <c r="C155" s="11" t="s">
        <v>149</v>
      </c>
      <c r="D155" s="13">
        <f>COUNTIF(D8:D150,"=New")</f>
        <v>0</v>
      </c>
      <c r="E155" s="12"/>
      <c r="F155" s="12"/>
      <c r="G155" s="44"/>
      <c r="H155" s="12"/>
      <c r="I155" s="12"/>
      <c r="J155" s="90">
        <f>SUMIFS(J8:J150,D8:D150,"=New")</f>
        <v>0</v>
      </c>
      <c r="K155" s="90">
        <f>SUMIFS(K8:K150,D8:D150,"=New")</f>
        <v>0</v>
      </c>
      <c r="L155" s="90"/>
      <c r="M155" s="83">
        <f>SUMIFS(M8:M150,D8:D150,"=New")</f>
        <v>0</v>
      </c>
      <c r="N155" s="84">
        <f t="shared" ref="N155:T155" si="1">COUNTIF(N8:N150,"=Underway")</f>
        <v>0</v>
      </c>
      <c r="O155" s="84">
        <f t="shared" si="1"/>
        <v>0</v>
      </c>
      <c r="P155" s="84">
        <f t="shared" si="1"/>
        <v>0</v>
      </c>
      <c r="Q155" s="84">
        <f t="shared" si="1"/>
        <v>0</v>
      </c>
      <c r="R155" s="84">
        <f t="shared" si="1"/>
        <v>0</v>
      </c>
      <c r="S155" s="84">
        <f t="shared" si="1"/>
        <v>0</v>
      </c>
      <c r="T155" s="84">
        <f t="shared" si="1"/>
        <v>0</v>
      </c>
      <c r="U155" s="17"/>
    </row>
    <row r="156" spans="1:21" ht="25.8" x14ac:dyDescent="0.3">
      <c r="A156" s="18"/>
      <c r="C156" s="11" t="s">
        <v>151</v>
      </c>
      <c r="D156" s="13"/>
      <c r="E156" s="12"/>
      <c r="F156" s="12"/>
      <c r="G156" s="44"/>
      <c r="H156" s="12"/>
      <c r="I156" s="12"/>
      <c r="J156" s="90">
        <f>SUM(J8:J150)</f>
        <v>14413</v>
      </c>
      <c r="K156" s="90">
        <f>SUM(K8:K150)</f>
        <v>712567</v>
      </c>
      <c r="L156" s="90"/>
      <c r="M156" s="83">
        <f>SUMIFS(M8:M150,D8:D150,"=Included")</f>
        <v>1749</v>
      </c>
      <c r="N156" s="84">
        <f t="shared" ref="N156:T156" si="2">COUNTIF(N8:N150,"=Planning")</f>
        <v>0</v>
      </c>
      <c r="O156" s="84">
        <f t="shared" si="2"/>
        <v>0</v>
      </c>
      <c r="P156" s="84">
        <f t="shared" si="2"/>
        <v>0</v>
      </c>
      <c r="Q156" s="84">
        <f t="shared" si="2"/>
        <v>0</v>
      </c>
      <c r="R156" s="84">
        <f t="shared" si="2"/>
        <v>0</v>
      </c>
      <c r="S156" s="84">
        <f t="shared" si="2"/>
        <v>0</v>
      </c>
      <c r="T156" s="84">
        <f t="shared" si="2"/>
        <v>0</v>
      </c>
      <c r="U156" s="17"/>
    </row>
    <row r="157" spans="1:21" ht="25.8" x14ac:dyDescent="0.3">
      <c r="A157" s="18"/>
      <c r="C157" s="11" t="s">
        <v>150</v>
      </c>
      <c r="D157" s="11"/>
      <c r="E157" s="12"/>
      <c r="F157" s="12"/>
      <c r="G157" s="44"/>
      <c r="H157" s="12"/>
      <c r="I157" s="12"/>
      <c r="J157" s="91">
        <f>ROUND((J154+J155)/J156*100,0)</f>
        <v>67</v>
      </c>
      <c r="K157" s="91">
        <f>ROUND((K154+K155)/K156*100,0)</f>
        <v>70</v>
      </c>
      <c r="L157" s="91"/>
      <c r="M157" s="83"/>
      <c r="N157" s="15"/>
      <c r="O157" s="37"/>
      <c r="P157" s="16"/>
      <c r="Q157" s="38"/>
      <c r="R157" s="37"/>
      <c r="S157" s="39"/>
      <c r="T157" s="39"/>
      <c r="U157" s="17"/>
    </row>
    <row r="158" spans="1:21" ht="25.8" x14ac:dyDescent="0.3">
      <c r="A158" s="18"/>
      <c r="C158" s="11"/>
      <c r="D158" s="11"/>
      <c r="E158" s="12"/>
      <c r="F158" s="12"/>
      <c r="G158" s="44"/>
      <c r="H158" s="12"/>
      <c r="I158" s="12"/>
      <c r="J158" s="12"/>
      <c r="K158" s="44"/>
      <c r="L158" s="44"/>
      <c r="M158" s="83"/>
      <c r="N158" s="15"/>
      <c r="O158" s="37"/>
      <c r="P158" s="16"/>
      <c r="Q158" s="38"/>
      <c r="R158" s="37"/>
      <c r="S158" s="39"/>
      <c r="T158" s="39"/>
      <c r="U158" s="17"/>
    </row>
    <row r="159" spans="1:21" ht="25.8" x14ac:dyDescent="0.45">
      <c r="A159" s="18"/>
      <c r="B159" s="27" t="s">
        <v>93</v>
      </c>
      <c r="C159" s="46"/>
      <c r="D159" s="46"/>
      <c r="E159" s="28" t="s">
        <v>104</v>
      </c>
      <c r="F159" s="28"/>
      <c r="G159" s="159"/>
      <c r="H159" s="28"/>
      <c r="I159" s="28"/>
      <c r="J159" s="28" t="s">
        <v>92</v>
      </c>
      <c r="K159" s="28" t="s">
        <v>105</v>
      </c>
      <c r="L159" s="28"/>
      <c r="M159" s="28" t="s">
        <v>83</v>
      </c>
      <c r="N159" s="15"/>
      <c r="O159" s="37"/>
      <c r="P159" s="13"/>
      <c r="Q159" s="39"/>
      <c r="R159" s="56"/>
    </row>
    <row r="160" spans="1:21" ht="27" customHeight="1" x14ac:dyDescent="0.45">
      <c r="B160" s="29" t="s">
        <v>81</v>
      </c>
      <c r="E160" s="47">
        <f>COUNTIF($C$9:$C$150,"=1")</f>
        <v>31</v>
      </c>
      <c r="F160" s="47"/>
      <c r="G160" s="47"/>
      <c r="H160" s="47"/>
      <c r="I160" s="47"/>
      <c r="J160" s="48">
        <f>SUMIF($C$9:$C$150,1,$J$9:$J$150)</f>
        <v>14209</v>
      </c>
      <c r="K160" s="48">
        <f>SUMIF($C$9:$C$150,1,$K$9:$K$150)</f>
        <v>705938</v>
      </c>
      <c r="L160" s="48"/>
      <c r="M160" s="30">
        <f>SUMIF($C$9:$C$155,1,$M$9:$M$155)</f>
        <v>0</v>
      </c>
      <c r="N160" s="15"/>
      <c r="O160" s="37"/>
      <c r="P160" s="35"/>
      <c r="Q160" s="40"/>
      <c r="R160" s="57"/>
    </row>
    <row r="161" spans="2:21" ht="23.4" x14ac:dyDescent="0.45">
      <c r="B161" s="29" t="s">
        <v>91</v>
      </c>
      <c r="E161" s="47">
        <f>COUNTIF($C$9:$C$150,"=2")</f>
        <v>9</v>
      </c>
      <c r="F161" s="47"/>
      <c r="G161" s="47"/>
      <c r="H161" s="47"/>
      <c r="I161" s="47"/>
      <c r="J161" s="48">
        <f>SUMIF($C$9:$C$150,2,$J$9:$J$150)</f>
        <v>204</v>
      </c>
      <c r="K161" s="48">
        <f>SUMIF($C$9:$C$150,2,$K$9:$K$150)</f>
        <v>6629</v>
      </c>
      <c r="L161" s="48"/>
      <c r="M161" s="30">
        <f>SUMIF($C$9:$C$155,2,$M$9:$M$155)</f>
        <v>0</v>
      </c>
      <c r="N161" s="15"/>
      <c r="O161" s="37"/>
      <c r="P161" s="35"/>
      <c r="Q161" s="40"/>
      <c r="R161" s="57"/>
    </row>
    <row r="162" spans="2:21" ht="25.2" customHeight="1" x14ac:dyDescent="0.45">
      <c r="B162" s="29" t="s">
        <v>52</v>
      </c>
      <c r="E162" s="47">
        <f>COUNTIF($C$9:$C$150,"=3")</f>
        <v>18</v>
      </c>
      <c r="F162" s="47"/>
      <c r="G162" s="47"/>
      <c r="H162" s="47"/>
      <c r="I162" s="47"/>
      <c r="J162" s="48">
        <f>SUMIF($C$9:$C$150,3,$J$9:$J$150)</f>
        <v>0</v>
      </c>
      <c r="K162" s="48">
        <f>SUMIF($C$9:$C$150,3,$K$9:$K$150)</f>
        <v>0</v>
      </c>
      <c r="L162" s="48"/>
      <c r="M162" s="30">
        <f>SUMIF($C$9:$C$155,3,$M$9:$M$155)</f>
        <v>533</v>
      </c>
      <c r="N162" s="15"/>
      <c r="O162" s="37"/>
      <c r="U162" s="24"/>
    </row>
    <row r="163" spans="2:21" ht="25.2" customHeight="1" x14ac:dyDescent="0.45">
      <c r="B163" s="29" t="s">
        <v>53</v>
      </c>
      <c r="E163" s="47">
        <f>COUNTIF($C$9:$C$150,"=4")</f>
        <v>8</v>
      </c>
      <c r="F163" s="47"/>
      <c r="G163" s="47"/>
      <c r="H163" s="47"/>
      <c r="I163" s="47"/>
      <c r="J163" s="48">
        <f>SUMIF($C$9:$C$150,4,$J$9:$J$150)</f>
        <v>0</v>
      </c>
      <c r="K163" s="48">
        <f>SUMIF($C$9:$C$150,4,$K$9:$K$150)</f>
        <v>0</v>
      </c>
      <c r="L163" s="48"/>
      <c r="M163" s="30">
        <f>SUMIF($C$9:$C$155,4,$M$9:$M$155)</f>
        <v>67</v>
      </c>
      <c r="N163" s="15"/>
      <c r="O163" s="37"/>
      <c r="U163" s="24"/>
    </row>
    <row r="164" spans="2:21" ht="25.2" customHeight="1" x14ac:dyDescent="0.45">
      <c r="B164" s="29" t="s">
        <v>48</v>
      </c>
      <c r="E164" s="47">
        <f>COUNTIF($C$9:$C$150,"=6")</f>
        <v>17</v>
      </c>
      <c r="F164" s="47"/>
      <c r="G164" s="47"/>
      <c r="H164" s="47"/>
      <c r="I164" s="47"/>
      <c r="J164" s="48">
        <f>SUMIF($C$9:$C$150,5,$J$9:$J$150)</f>
        <v>0</v>
      </c>
      <c r="K164" s="48">
        <f>SUMIF($C$9:$C$150,5,$K$9:$K$150)</f>
        <v>0</v>
      </c>
      <c r="L164" s="48"/>
      <c r="M164" s="30">
        <f>SUMIF($C$9:$C$155,5,$M$9:$M$155)</f>
        <v>1982</v>
      </c>
      <c r="N164" s="10"/>
      <c r="U164" s="25"/>
    </row>
    <row r="165" spans="2:21" ht="23.4" x14ac:dyDescent="0.45">
      <c r="B165" s="29" t="s">
        <v>82</v>
      </c>
      <c r="E165" s="47">
        <f>COUNTIF($C$9:$C$150,"=7")</f>
        <v>2</v>
      </c>
      <c r="F165" s="47"/>
      <c r="G165" s="47"/>
      <c r="H165" s="47"/>
      <c r="I165" s="47"/>
      <c r="J165" s="48">
        <f>SUMIF($C$9:$C$150,6,$J$9:$J$150)</f>
        <v>0</v>
      </c>
      <c r="K165" s="48">
        <f>SUMIF($C$9:$C$150,6,$K$9:$K$150)</f>
        <v>0</v>
      </c>
      <c r="L165" s="48"/>
      <c r="M165" s="30">
        <f>SUMIF($C$9:$C$155,6,$M$9:$M$155)</f>
        <v>0</v>
      </c>
      <c r="U165" s="23"/>
    </row>
    <row r="166" spans="2:21" ht="23.4" x14ac:dyDescent="0.45">
      <c r="B166" s="29" t="s">
        <v>83</v>
      </c>
      <c r="E166" s="47">
        <f>COUNTIF($C$9:$C$150,"=5")</f>
        <v>43</v>
      </c>
      <c r="F166" s="47"/>
      <c r="G166" s="47"/>
      <c r="H166" s="47"/>
      <c r="I166" s="47"/>
      <c r="J166" s="48">
        <f>SUMIF($C$9:$C$150,7,$J$9:$J$150)</f>
        <v>0</v>
      </c>
      <c r="K166" s="48">
        <f>SUMIF($C$9:$C$150,7,$K$9:$K$150)</f>
        <v>0</v>
      </c>
      <c r="L166" s="48"/>
      <c r="M166" s="30">
        <f>SUMIF($C$9:$C$155,7,$M$9:$M$155)</f>
        <v>0</v>
      </c>
    </row>
    <row r="167" spans="2:21" ht="23.4" x14ac:dyDescent="0.45">
      <c r="B167" s="29" t="s">
        <v>25</v>
      </c>
      <c r="E167" s="47">
        <f>COUNTIF($C$9:$C$150,"=8")</f>
        <v>2</v>
      </c>
      <c r="F167" s="47"/>
      <c r="G167" s="47"/>
      <c r="H167" s="47"/>
      <c r="I167" s="47"/>
      <c r="J167" s="48">
        <f>SUMIF($C$9:$C$150,8,$J$9:$J$150)</f>
        <v>0</v>
      </c>
      <c r="K167" s="48">
        <f>SUMIF($C$9:$C$150,8,$K$9:$K$150)</f>
        <v>0</v>
      </c>
      <c r="L167" s="48"/>
      <c r="M167" s="30">
        <f>SUMIF($C$9:$C$155,8,$M$9:$M$155)</f>
        <v>0</v>
      </c>
    </row>
    <row r="168" spans="2:21" ht="23.4" x14ac:dyDescent="0.45">
      <c r="B168" s="29" t="s">
        <v>28</v>
      </c>
      <c r="E168" s="47">
        <f>COUNTIF($C$9:$C$150,"=9")</f>
        <v>1</v>
      </c>
      <c r="F168" s="47"/>
      <c r="G168" s="47"/>
      <c r="H168" s="47"/>
      <c r="I168" s="47"/>
      <c r="J168" s="48">
        <f>SUMIF($C$9:$C$150,9,$J$9:$J$150)</f>
        <v>0</v>
      </c>
      <c r="K168" s="48">
        <f>SUMIF($C$9:$C$150,9,$K$9:$K$150)</f>
        <v>0</v>
      </c>
      <c r="L168" s="48"/>
      <c r="M168" s="30">
        <f>SUMIF($C$9:$C$155,9,$M$9:$M$155)</f>
        <v>0</v>
      </c>
    </row>
    <row r="169" spans="2:21" ht="23.4" x14ac:dyDescent="0.45">
      <c r="B169" s="29" t="s">
        <v>84</v>
      </c>
      <c r="E169" s="47">
        <f>COUNTIF($C$9:$C$150,"=10")</f>
        <v>0</v>
      </c>
      <c r="F169" s="47"/>
      <c r="G169" s="47"/>
      <c r="H169" s="47"/>
      <c r="I169" s="47"/>
      <c r="J169" s="48">
        <f>SUMIF($C$9:$C$150,10,$J$9:$J$150)</f>
        <v>0</v>
      </c>
      <c r="K169" s="48">
        <f>SUMIF($C$9:$C$150,10,$K$9:$K$150)</f>
        <v>0</v>
      </c>
      <c r="L169" s="48"/>
      <c r="M169" s="30">
        <f>SUMIF($C$9:$C$155,10,$M$9:$M$155)</f>
        <v>0</v>
      </c>
    </row>
    <row r="170" spans="2:21" ht="23.4" x14ac:dyDescent="0.45">
      <c r="B170" s="31" t="s">
        <v>49</v>
      </c>
      <c r="E170" s="32">
        <f>SUM(E160:E169)</f>
        <v>131</v>
      </c>
      <c r="F170" s="32"/>
      <c r="G170" s="160"/>
      <c r="H170" s="32"/>
      <c r="I170" s="32"/>
      <c r="J170" s="32">
        <f>SUM(J160:J169)</f>
        <v>14413</v>
      </c>
      <c r="K170" s="32">
        <f>SUM(K160:K169)</f>
        <v>712567</v>
      </c>
      <c r="L170" s="32"/>
      <c r="M170" s="32">
        <f>SUM(M160:M169)</f>
        <v>2582</v>
      </c>
    </row>
    <row r="171" spans="2:21" ht="21" customHeight="1" x14ac:dyDescent="0.3">
      <c r="B171" s="21"/>
      <c r="C171" s="20"/>
      <c r="D171" s="20"/>
      <c r="E171" s="26"/>
      <c r="F171" s="26"/>
      <c r="G171" s="161"/>
      <c r="H171" s="26"/>
      <c r="I171" s="26"/>
      <c r="J171" s="22"/>
      <c r="K171" s="45"/>
      <c r="L171" s="45"/>
      <c r="M171" s="22"/>
    </row>
    <row r="172" spans="2:21" x14ac:dyDescent="0.3">
      <c r="B172" s="21"/>
      <c r="E172" s="26"/>
      <c r="F172" s="26"/>
      <c r="G172" s="161"/>
      <c r="H172" s="26"/>
      <c r="I172" s="26"/>
      <c r="J172" s="22"/>
      <c r="K172" s="45"/>
      <c r="L172" s="45"/>
      <c r="M172" s="22"/>
    </row>
    <row r="173" spans="2:21" x14ac:dyDescent="0.3">
      <c r="B173" s="21"/>
      <c r="E173" s="26"/>
      <c r="F173" s="26"/>
      <c r="G173" s="161"/>
      <c r="H173" s="26"/>
      <c r="I173" s="26"/>
      <c r="J173" s="22"/>
      <c r="K173" s="45"/>
      <c r="L173" s="45"/>
      <c r="M173" s="22"/>
    </row>
  </sheetData>
  <mergeCells count="6">
    <mergeCell ref="A6:U6"/>
    <mergeCell ref="A1:U1"/>
    <mergeCell ref="A2:U2"/>
    <mergeCell ref="A3:U3"/>
    <mergeCell ref="A4:U4"/>
    <mergeCell ref="A5:U5"/>
  </mergeCells>
  <pageMargins left="0.25" right="0.25" top="0.5" bottom="0.75" header="0.3" footer="0.5"/>
  <pageSetup scale="48" fitToHeight="0" orientation="landscape" r:id="rId1"/>
  <headerFooter>
    <oddFooter>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On-Boarding Detail</vt:lpstr>
      <vt:lpstr>Sheet1</vt:lpstr>
      <vt:lpstr>On-Boarding Summary</vt:lpstr>
      <vt:lpstr>On-Boarding Schedule</vt:lpstr>
      <vt:lpstr>'On-Boarding Detail'!Print_Area</vt:lpstr>
      <vt:lpstr>'On-Boarding Schedule'!Print_Area</vt:lpstr>
      <vt:lpstr>'On-Boarding Summary'!Print_Area</vt:lpstr>
      <vt:lpstr>'On-Boarding Detail'!Print_Titles</vt:lpstr>
      <vt:lpstr>'On-Boarding Schedule'!Print_Titles</vt:lpstr>
      <vt:lpstr>'On-Boarding Summary'!Print_Titles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mrutala</dc:creator>
  <cp:lastModifiedBy>Aditi Datta</cp:lastModifiedBy>
  <cp:lastPrinted>2016-05-24T22:36:03Z</cp:lastPrinted>
  <dcterms:created xsi:type="dcterms:W3CDTF">2013-12-06T21:23:07Z</dcterms:created>
  <dcterms:modified xsi:type="dcterms:W3CDTF">2016-08-17T15:05:25Z</dcterms:modified>
</cp:coreProperties>
</file>